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in Matched" sheetId="1" state="visible" r:id="rId1"/>
    <sheet name="Goldin Unmatched" sheetId="2" state="visible" r:id="rId2"/>
    <sheet name="FC Matched" sheetId="3" state="visible" r:id="rId3"/>
    <sheet name="FC Unmatched" sheetId="4" state="visible" r:id="rId4"/>
    <sheet name="Whatnot Matched" sheetId="5" state="visible" r:id="rId5"/>
    <sheet name="Whatnot Unmatched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b val="1"/>
      <sz val="14"/>
    </font>
    <font>
      <b val="1"/>
      <sz val="12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4" fillId="4" borderId="0" pivotButton="0" quotePrefix="0" xfId="0"/>
    <xf numFmtId="164" fontId="4" fillId="4" borderId="0" pivotButton="0" quotePrefix="0" xfId="0"/>
    <xf numFmtId="0" fontId="5" fillId="0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Platform</t>
        </is>
      </c>
      <c r="C1" s="1" t="inlineStr">
        <is>
          <t>Card</t>
        </is>
      </c>
      <c r="D1" s="1" t="inlineStr">
        <is>
          <t>Date</t>
        </is>
      </c>
      <c r="E1" s="1" t="inlineStr">
        <is>
          <t>Proceeds</t>
        </is>
      </c>
      <c r="F1" s="1" t="inlineStr">
        <is>
          <t>eBay Match</t>
        </is>
      </c>
      <c r="G1" s="1" t="inlineStr">
        <is>
          <t>eBay Cost</t>
        </is>
      </c>
      <c r="H1" s="1" t="inlineStr">
        <is>
          <t>Score</t>
        </is>
      </c>
      <c r="I1" s="1" t="inlineStr">
        <is>
          <t>CORRECTED COST</t>
        </is>
      </c>
      <c r="J1" s="1" t="inlineStr">
        <is>
          <t>Final Cost</t>
        </is>
      </c>
      <c r="K1" s="1" t="inlineStr">
        <is>
          <t>P&amp;L</t>
        </is>
      </c>
      <c r="L1" s="1" t="inlineStr">
        <is>
          <t>Return</t>
        </is>
      </c>
    </row>
    <row r="2">
      <c r="A2" t="n">
        <v>1</v>
      </c>
      <c r="B2" t="inlineStr">
        <is>
          <t>Goldin</t>
        </is>
      </c>
      <c r="C2" t="inlineStr">
        <is>
          <t>2024 Panini Select Sparks Memorabilia Purple Prizm #38 Caitlin Clark Signed Relic Rookie Card (#26/49) - PSA Authentic, PSA/DNA GEM MT 10</t>
        </is>
      </c>
      <c r="D2" t="inlineStr">
        <is>
          <t>2026-05-22</t>
        </is>
      </c>
      <c r="E2" s="2" t="n">
        <v>501.4</v>
      </c>
      <c r="F2" t="inlineStr">
        <is>
          <t>2024 Select WNBA #38 Caitlin Clark Rookie Purple Memorabilia /49 PSA GEM 10 AUTO</t>
        </is>
      </c>
      <c r="G2" s="2" t="n">
        <v>7000</v>
      </c>
      <c r="H2" t="n">
        <v>30</v>
      </c>
      <c r="I2" s="3" t="n"/>
      <c r="J2" s="2">
        <f>IF(I2&lt;&gt;"",I2,G2)</f>
        <v/>
      </c>
      <c r="K2" s="2">
        <f>E2-J2</f>
        <v/>
      </c>
      <c r="L2" s="4">
        <f>IF(J2&gt;0,K2/J2,"")</f>
        <v/>
      </c>
    </row>
    <row r="3">
      <c r="A3" t="n">
        <v>2</v>
      </c>
      <c r="B3" t="inlineStr">
        <is>
          <t>Goldin</t>
        </is>
      </c>
      <c r="C3" t="inlineStr">
        <is>
          <t>2006-07 Upper Deck Hardcourt #13 Michael Jordan - PSA GEM MT 10</t>
        </is>
      </c>
      <c r="D3" t="inlineStr">
        <is>
          <t>2026-03-13</t>
        </is>
      </c>
      <c r="E3" s="2" t="n">
        <v>322</v>
      </c>
      <c r="F3" t="inlineStr">
        <is>
          <t>MICHAEL JORDAN 2013 Upper Deck All- Time Greats on card AUTO Autograph /45</t>
        </is>
      </c>
      <c r="G3" s="2" t="n">
        <v>5600</v>
      </c>
      <c r="H3" t="n">
        <v>18</v>
      </c>
      <c r="I3" s="3" t="n"/>
      <c r="J3" s="2">
        <f>IF(I3&lt;&gt;"",I3,G3)</f>
        <v/>
      </c>
      <c r="K3" s="2">
        <f>E3-J3</f>
        <v/>
      </c>
      <c r="L3" s="4">
        <f>IF(J3&gt;0,K3/J3,"")</f>
        <v/>
      </c>
    </row>
    <row r="4">
      <c r="A4" t="n">
        <v>3</v>
      </c>
      <c r="B4" t="inlineStr">
        <is>
          <t>Goldin</t>
        </is>
      </c>
      <c r="C4" t="inlineStr">
        <is>
          <t>1986-87 Fleer #57 Michael Jordan Rookie Card - PSA NM-MT 8 (OC)</t>
        </is>
      </c>
      <c r="D4" t="inlineStr">
        <is>
          <t>2026-05-14</t>
        </is>
      </c>
      <c r="E4" s="2" t="n">
        <v>7475</v>
      </c>
      <c r="F4" t="inlineStr">
        <is>
          <t>🔥1986-87 Fleer - #57 Michael Jordan (RC) GREATEST BASKETBALL PLAYER/CARD EVER!</t>
        </is>
      </c>
      <c r="G4" s="2" t="n">
        <v>12500</v>
      </c>
      <c r="H4" t="n">
        <v>26</v>
      </c>
      <c r="I4" s="3" t="n"/>
      <c r="J4" s="2">
        <f>IF(I4&lt;&gt;"",I4,G4)</f>
        <v/>
      </c>
      <c r="K4" s="2">
        <f>E4-J4</f>
        <v/>
      </c>
      <c r="L4" s="4">
        <f>IF(J4&gt;0,K4/J4,"")</f>
        <v/>
      </c>
    </row>
    <row r="5">
      <c r="A5" t="n">
        <v>4</v>
      </c>
      <c r="B5" t="inlineStr">
        <is>
          <t>Goldin</t>
        </is>
      </c>
      <c r="C5" t="inlineStr">
        <is>
          <t>2024 Panini Prizm #22 Caitlin Clark Rookie Card - PSA GEM MT 10</t>
        </is>
      </c>
      <c r="D5" t="inlineStr">
        <is>
          <t>2026-05-15</t>
        </is>
      </c>
      <c r="E5" s="2" t="n">
        <v>201.25</v>
      </c>
      <c r="F5" t="inlineStr">
        <is>
          <t>2024 Panini Prizm WNBA #22 Caitlin Clark Orange Ice Rookie PSA GEM MINT 10 AUTO</t>
        </is>
      </c>
      <c r="G5" s="2" t="n">
        <v>5000</v>
      </c>
      <c r="H5" t="n">
        <v>28</v>
      </c>
      <c r="I5" s="3" t="n"/>
      <c r="J5" s="2">
        <f>IF(I5&lt;&gt;"",I5,G5)</f>
        <v/>
      </c>
      <c r="K5" s="2">
        <f>E5-J5</f>
        <v/>
      </c>
      <c r="L5" s="4">
        <f>IF(J5&gt;0,K5/J5,"")</f>
        <v/>
      </c>
    </row>
    <row r="6">
      <c r="A6" t="n">
        <v>5</v>
      </c>
      <c r="B6" t="inlineStr">
        <is>
          <t>Goldin</t>
        </is>
      </c>
      <c r="C6" t="inlineStr">
        <is>
          <t>2024 Panini Prizm WNBA Blue Velocity Prizm #22 Caitlin Clark Rookie Card - PSA GEM MT 10</t>
        </is>
      </c>
      <c r="D6" t="inlineStr">
        <is>
          <t>2026-05-15</t>
        </is>
      </c>
      <c r="E6" s="2" t="n">
        <v>402.5</v>
      </c>
      <c r="F6" t="inlineStr">
        <is>
          <t>2024 Panini Prizm WNBA #22 Caitlin Clark Orange Ice Rookie PSA GEM MINT 10 AUTO</t>
        </is>
      </c>
      <c r="G6" s="2" t="n">
        <v>5000</v>
      </c>
      <c r="H6" t="n">
        <v>30</v>
      </c>
      <c r="I6" s="3" t="n"/>
      <c r="J6" s="2">
        <f>IF(I6&lt;&gt;"",I6,G6)</f>
        <v/>
      </c>
      <c r="K6" s="2">
        <f>E6-J6</f>
        <v/>
      </c>
      <c r="L6" s="4">
        <f>IF(J6&gt;0,K6/J6,"")</f>
        <v/>
      </c>
    </row>
    <row r="7">
      <c r="A7" t="n">
        <v>6</v>
      </c>
      <c r="B7" t="inlineStr">
        <is>
          <t>Goldin</t>
        </is>
      </c>
      <c r="C7" t="inlineStr">
        <is>
          <t>1997-98 Topps Stadium Club Triumvirate Luminous #T9B Michael Jordan - PSA NM-MT 8</t>
        </is>
      </c>
      <c r="D7" t="inlineStr">
        <is>
          <t>2026-05-10</t>
        </is>
      </c>
      <c r="E7" s="2" t="n">
        <v>1443.25</v>
      </c>
      <c r="F7" t="inlineStr">
        <is>
          <t>1997-98 Stadium Club Triumvirate - Michael Jordan #T9B BGS 9.5</t>
        </is>
      </c>
      <c r="G7" s="2" t="n">
        <v>6000</v>
      </c>
      <c r="H7" t="n">
        <v>25</v>
      </c>
      <c r="I7" s="3" t="n"/>
      <c r="J7" s="2">
        <f>IF(I7&lt;&gt;"",I7,G7)</f>
        <v/>
      </c>
      <c r="K7" s="2">
        <f>E7-J7</f>
        <v/>
      </c>
      <c r="L7" s="4">
        <f>IF(J7&gt;0,K7/J7,"")</f>
        <v/>
      </c>
    </row>
    <row r="8">
      <c r="A8" t="n">
        <v>7</v>
      </c>
      <c r="B8" t="inlineStr">
        <is>
          <t>Goldin</t>
        </is>
      </c>
      <c r="C8" t="inlineStr">
        <is>
          <t>2022-23 Panini Donruss FIFA Kaboom! #2 Lionel Messi - PSA GEM MT 10</t>
        </is>
      </c>
      <c r="D8" t="inlineStr">
        <is>
          <t>2026-06-23</t>
        </is>
      </c>
      <c r="E8" s="2" t="n">
        <v>9775</v>
      </c>
      <c r="F8" t="inlineStr">
        <is>
          <t>Lionel Messi 2022 Panini Donruss Kaboom ! PSA 10 gem mint</t>
        </is>
      </c>
      <c r="G8" s="2" t="n">
        <v>13750</v>
      </c>
      <c r="H8" t="n">
        <v>23</v>
      </c>
      <c r="I8" s="3" t="n"/>
      <c r="J8" s="2">
        <f>IF(I8&lt;&gt;"",I8,G8)</f>
        <v/>
      </c>
      <c r="K8" s="2">
        <f>E8-J8</f>
        <v/>
      </c>
      <c r="L8" s="4">
        <f>IF(J8&gt;0,K8/J8,"")</f>
        <v/>
      </c>
    </row>
    <row r="9">
      <c r="A9" t="n">
        <v>8</v>
      </c>
      <c r="B9" t="inlineStr">
        <is>
          <t>Goldin</t>
        </is>
      </c>
      <c r="C9" t="inlineStr">
        <is>
          <t>2018-19 Panini Impeccable Stainless Stars Autograph #SA-SGA Shai Gilgeous-Alexander Signed Rookie Card (#74/99) - PSA Authentic, PSA/DNA GEM MT 10</t>
        </is>
      </c>
      <c r="D9" t="inlineStr">
        <is>
          <t>2026-04-18</t>
        </is>
      </c>
      <c r="E9" s="2" t="n">
        <v>1840</v>
      </c>
      <c r="F9" t="inlineStr">
        <is>
          <t>SHAI GILGEOUS-ALEXANDER 2018-19 PANINI FLAWLESS #RA-SGA ROOKIE AUTO RUBY RC 9/15</t>
        </is>
      </c>
      <c r="G9" s="2" t="n">
        <v>5100</v>
      </c>
      <c r="H9" t="n">
        <v>20</v>
      </c>
      <c r="I9" s="3" t="n"/>
      <c r="J9" s="2">
        <f>IF(I9&lt;&gt;"",I9,G9)</f>
        <v/>
      </c>
      <c r="K9" s="2">
        <f>E9-J9</f>
        <v/>
      </c>
      <c r="L9" s="4">
        <f>IF(J9&gt;0,K9/J9,"")</f>
        <v/>
      </c>
    </row>
    <row r="10">
      <c r="A10" t="n">
        <v>9</v>
      </c>
      <c r="B10" t="inlineStr">
        <is>
          <t>Goldin</t>
        </is>
      </c>
      <c r="C10" t="inlineStr">
        <is>
          <t xml:space="preserve">2022-23 Panini Flawless Autographs Emerald '25 Black Box #FA-SGA Shai Gilgeous-Alexander Signed Card (#1/1) - Panini Encased
</t>
        </is>
      </c>
      <c r="D10" t="inlineStr">
        <is>
          <t>2026-05-10</t>
        </is>
      </c>
      <c r="E10" s="2" t="n">
        <v>1955</v>
      </c>
      <c r="F10" t="inlineStr">
        <is>
          <t>SHAI GILGEOUS-ALEXANDER 2018-19 PANINI FLAWLESS #RA-SGA ROOKIE AUTO RUBY RC 9/15</t>
        </is>
      </c>
      <c r="G10" s="2" t="n">
        <v>5100</v>
      </c>
      <c r="H10" t="n">
        <v>20</v>
      </c>
      <c r="I10" s="3" t="n"/>
      <c r="J10" s="2">
        <f>IF(I10&lt;&gt;"",I10,G10)</f>
        <v/>
      </c>
      <c r="K10" s="2">
        <f>E10-J10</f>
        <v/>
      </c>
      <c r="L10" s="4">
        <f>IF(J10&gt;0,K10/J10,"")</f>
        <v/>
      </c>
    </row>
    <row r="11">
      <c r="A11" t="n">
        <v>10</v>
      </c>
      <c r="B11" t="inlineStr">
        <is>
          <t>Goldin</t>
        </is>
      </c>
      <c r="C11" t="inlineStr">
        <is>
          <t>2018-19 Panini National Treasures Rookie Materials Prime #RM-SGA Shai Gilgeous-Alexander Signed Patch Rookie Card (#03/25) - PSA Authentic, PSA/DNA GEM MT 10</t>
        </is>
      </c>
      <c r="D11" t="inlineStr">
        <is>
          <t>2026-06-15</t>
        </is>
      </c>
      <c r="E11" s="2" t="n">
        <v>2185</v>
      </c>
      <c r="F11" t="inlineStr">
        <is>
          <t>SHAI GILGEOUS-ALEXANDER 2018-19 PANINI FLAWLESS #RA-SGA ROOKIE AUTO RUBY RC 9/15</t>
        </is>
      </c>
      <c r="G11" s="2" t="n">
        <v>5100</v>
      </c>
      <c r="H11" t="n">
        <v>22</v>
      </c>
      <c r="I11" s="3" t="n"/>
      <c r="J11" s="2">
        <f>IF(I11&lt;&gt;"",I11,G11)</f>
        <v/>
      </c>
      <c r="K11" s="2">
        <f>E11-J11</f>
        <v/>
      </c>
      <c r="L11" s="4">
        <f>IF(J11&gt;0,K11/J11,"")</f>
        <v/>
      </c>
    </row>
    <row r="12">
      <c r="A12" t="n">
        <v>11</v>
      </c>
      <c r="B12" t="inlineStr">
        <is>
          <t>Goldin</t>
        </is>
      </c>
      <c r="C12" t="inlineStr">
        <is>
          <t>2024-25 Panini Flawless Phrases Signatures #FPS-SGA Shai Gilgeous-Alexander Signed Card (#4/5) - Panini Encased</t>
        </is>
      </c>
      <c r="D12" t="inlineStr">
        <is>
          <t>2026-05-11</t>
        </is>
      </c>
      <c r="E12" s="2" t="n">
        <v>2185</v>
      </c>
      <c r="F12" t="inlineStr">
        <is>
          <t>SHAI GILGEOUS-ALEXANDER 2018-19 PANINI FLAWLESS #RA-SGA ROOKIE AUTO RUBY RC 9/15</t>
        </is>
      </c>
      <c r="G12" s="2" t="n">
        <v>5100</v>
      </c>
      <c r="H12" t="n">
        <v>20</v>
      </c>
      <c r="I12" s="3" t="n"/>
      <c r="J12" s="2">
        <f>IF(I12&lt;&gt;"",I12,G12)</f>
        <v/>
      </c>
      <c r="K12" s="2">
        <f>E12-J12</f>
        <v/>
      </c>
      <c r="L12" s="4">
        <f>IF(J12&gt;0,K12/J12,"")</f>
        <v/>
      </c>
    </row>
    <row r="13">
      <c r="A13" t="n">
        <v>12</v>
      </c>
      <c r="B13" t="inlineStr">
        <is>
          <t>Goldin</t>
        </is>
      </c>
      <c r="C13" t="inlineStr">
        <is>
          <t>2021-22 Panini National Treasures Clutch Factor Signatures #CF-SCU Stephen Curry Signed Relic Card (#09/25) - Panini Encased</t>
        </is>
      </c>
      <c r="D13" t="inlineStr">
        <is>
          <t>2026-04-13</t>
        </is>
      </c>
      <c r="E13" s="2" t="n">
        <v>1725</v>
      </c>
      <c r="F13" t="inlineStr">
        <is>
          <t>2023 Panini Flawless Stephen Curry Scoring Title Auto #FST-SCU /25 PSA 9/10</t>
        </is>
      </c>
      <c r="G13" s="2" t="n">
        <v>4350</v>
      </c>
      <c r="H13" t="n">
        <v>13</v>
      </c>
      <c r="I13" s="3" t="n"/>
      <c r="J13" s="2">
        <f>IF(I13&lt;&gt;"",I13,G13)</f>
        <v/>
      </c>
      <c r="K13" s="2">
        <f>E13-J13</f>
        <v/>
      </c>
      <c r="L13" s="4">
        <f>IF(J13&gt;0,K13/J13,"")</f>
        <v/>
      </c>
    </row>
    <row r="14">
      <c r="A14" t="n">
        <v>13</v>
      </c>
      <c r="B14" t="inlineStr">
        <is>
          <t>Goldin</t>
        </is>
      </c>
      <c r="C14" t="inlineStr">
        <is>
          <t>2004-05 Panini Sports Mega Cracks Barca-Campio #35 Lionel Messi Rookie Card - PSA NM-MT 8</t>
        </is>
      </c>
      <c r="D14" t="inlineStr">
        <is>
          <t>2026-06-20</t>
        </is>
      </c>
      <c r="E14" s="2" t="n">
        <v>2760</v>
      </c>
      <c r="F14" t="inlineStr">
        <is>
          <t>2004 PANINI SPORTS MEGA CRACKS BARCA #35 LIONEL MESSI ROOKIE RC PSA 10，</t>
        </is>
      </c>
      <c r="G14" s="2" t="n">
        <v>5100</v>
      </c>
      <c r="H14" t="n">
        <v>26</v>
      </c>
      <c r="I14" s="3" t="n"/>
      <c r="J14" s="2">
        <f>IF(I14&lt;&gt;"",I14,G14)</f>
        <v/>
      </c>
      <c r="K14" s="2">
        <f>E14-J14</f>
        <v/>
      </c>
      <c r="L14" s="4">
        <f>IF(J14&gt;0,K14/J14,"")</f>
        <v/>
      </c>
    </row>
    <row r="15">
      <c r="A15" t="n">
        <v>14</v>
      </c>
      <c r="B15" t="inlineStr">
        <is>
          <t>Goldin</t>
        </is>
      </c>
      <c r="C15" t="inlineStr">
        <is>
          <t>1996-97 Topps NBA Stars Finest #124 Michael Jordan - PSA GEM MT 10</t>
        </is>
      </c>
      <c r="D15" t="inlineStr">
        <is>
          <t>2026-05-10</t>
        </is>
      </c>
      <c r="E15" s="2" t="n">
        <v>805</v>
      </c>
      <c r="F15" t="inlineStr">
        <is>
          <t>1996 Topps Stars Michael Jordan Finest Refractor #124 PSA 10</t>
        </is>
      </c>
      <c r="G15" s="2" t="n">
        <v>3050</v>
      </c>
      <c r="H15" t="n">
        <v>23</v>
      </c>
      <c r="I15" s="3" t="n"/>
      <c r="J15" s="2">
        <f>IF(I15&lt;&gt;"",I15,G15)</f>
        <v/>
      </c>
      <c r="K15" s="2">
        <f>E15-J15</f>
        <v/>
      </c>
      <c r="L15" s="4">
        <f>IF(J15&gt;0,K15/J15,"")</f>
        <v/>
      </c>
    </row>
    <row r="16">
      <c r="A16" t="n">
        <v>15</v>
      </c>
      <c r="B16" t="inlineStr">
        <is>
          <t>Goldin</t>
        </is>
      </c>
      <c r="C16" t="inlineStr">
        <is>
          <t>2022-23 Panini National Treasures Rookie Patch Autographs Ruby '25 Black Box #110 Paolo Banchero Signed Patch Rookie Card (#1/1) - Panini Encased</t>
        </is>
      </c>
      <c r="D16" t="inlineStr">
        <is>
          <t>2026-05-14</t>
        </is>
      </c>
      <c r="E16" s="2" t="n">
        <v>1897.5</v>
      </c>
      <c r="F16" t="inlineStr">
        <is>
          <t>PAOLO BANCHERO 2022-23 NATIONAL TREASURES #110 ROOKIE PATCH AUTO RPA B/BX 1/1</t>
        </is>
      </c>
      <c r="G16" s="2" t="n">
        <v>4029</v>
      </c>
      <c r="H16" t="n">
        <v>34</v>
      </c>
      <c r="I16" s="3" t="n"/>
      <c r="J16" s="2">
        <f>IF(I16&lt;&gt;"",I16,G16)</f>
        <v/>
      </c>
      <c r="K16" s="2">
        <f>E16-J16</f>
        <v/>
      </c>
      <c r="L16" s="4">
        <f>IF(J16&gt;0,K16/J16,"")</f>
        <v/>
      </c>
    </row>
    <row r="17">
      <c r="A17" t="n">
        <v>16</v>
      </c>
      <c r="B17" t="inlineStr">
        <is>
          <t>Goldin</t>
        </is>
      </c>
      <c r="C17" t="inlineStr">
        <is>
          <t>2014-15 Upper Deck SP Authentic Immortal Ink #II-JO Michael Jordan Signed Card (#2/3) - BGS GEM MINT 9.5 - Pop 2</t>
        </is>
      </c>
      <c r="D17" t="inlineStr">
        <is>
          <t>2026-06-01</t>
        </is>
      </c>
      <c r="E17" s="2" t="n">
        <v>9646.200000000001</v>
      </c>
      <c r="F17" t="inlineStr">
        <is>
          <t>MICHAEL JORDAN BGS 9.5 2014-15 SP AUTHENTIC #II-JO IMMORTAL INK ON CARD AUTO 2/3</t>
        </is>
      </c>
      <c r="G17" s="2" t="n">
        <v>11700</v>
      </c>
      <c r="H17" t="n">
        <v>27</v>
      </c>
      <c r="I17" s="3" t="n"/>
      <c r="J17" s="2">
        <f>IF(I17&lt;&gt;"",I17,G17)</f>
        <v/>
      </c>
      <c r="K17" s="2">
        <f>E17-J17</f>
        <v/>
      </c>
      <c r="L17" s="4">
        <f>IF(J17&gt;0,K17/J17,"")</f>
        <v/>
      </c>
    </row>
    <row r="18">
      <c r="A18" t="n">
        <v>17</v>
      </c>
      <c r="B18" t="inlineStr">
        <is>
          <t>Goldin</t>
        </is>
      </c>
      <c r="C18" t="inlineStr">
        <is>
          <t>2023-24 Panini Flawless Scoring Title Autographs #FST-SCU Stephen Curry Signed Card (#14/25) - PSA MINT 9, PSA/DNA GEM MT 10</t>
        </is>
      </c>
      <c r="D18" t="inlineStr">
        <is>
          <t>2026-04-12</t>
        </is>
      </c>
      <c r="E18" s="2" t="n">
        <v>2516.2</v>
      </c>
      <c r="F18" t="inlineStr">
        <is>
          <t>2023 Panini Flawless Stephen Curry Scoring Title Auto #FST-SCU /25 PSA 9/10</t>
        </is>
      </c>
      <c r="G18" s="2" t="n">
        <v>4350</v>
      </c>
      <c r="H18" t="n">
        <v>25</v>
      </c>
      <c r="I18" s="3" t="n"/>
      <c r="J18" s="2">
        <f>IF(I18&lt;&gt;"",I18,G18)</f>
        <v/>
      </c>
      <c r="K18" s="2">
        <f>E18-J18</f>
        <v/>
      </c>
      <c r="L18" s="4">
        <f>IF(J18&gt;0,K18/J18,"")</f>
        <v/>
      </c>
    </row>
    <row r="19">
      <c r="A19" t="n">
        <v>18</v>
      </c>
      <c r="B19" t="inlineStr">
        <is>
          <t>Goldin</t>
        </is>
      </c>
      <c r="C19" t="inlineStr">
        <is>
          <t xml:space="preserve">2022-23 Panini National Treasures Biography Materials Prime #BGM-SHA Shai Gilgeous-Alexander Signed Patch Card (#01/25) - PSA Authentic, PSA/DNA GEM MT 10 - Pop 1
</t>
        </is>
      </c>
      <c r="D19" t="inlineStr">
        <is>
          <t>2026-06-09</t>
        </is>
      </c>
      <c r="E19" s="2" t="n">
        <v>805</v>
      </c>
      <c r="F19" t="inlineStr">
        <is>
          <t>SHAI GILGEOUS-ALEXANDER SIGNED 2018 NATIONAL TREASURES RC PATCH RPA PSA AUTO 10</t>
        </is>
      </c>
      <c r="G19" s="2" t="n">
        <v>2525</v>
      </c>
      <c r="H19" t="n">
        <v>22</v>
      </c>
      <c r="I19" s="3" t="n"/>
      <c r="J19" s="2">
        <f>IF(I19&lt;&gt;"",I19,G19)</f>
        <v/>
      </c>
      <c r="K19" s="2">
        <f>E19-J19</f>
        <v/>
      </c>
      <c r="L19" s="4">
        <f>IF(J19&gt;0,K19/J19,"")</f>
        <v/>
      </c>
    </row>
    <row r="20">
      <c r="A20" t="n">
        <v>19</v>
      </c>
      <c r="B20" t="inlineStr">
        <is>
          <t>Goldin</t>
        </is>
      </c>
      <c r="C20" t="inlineStr">
        <is>
          <t>2018-19 Panini Spectra Neon Pink #6 Luka Doncic (#08/25) - PSA MINT 9</t>
        </is>
      </c>
      <c r="D20" t="inlineStr">
        <is>
          <t>2026-04-04</t>
        </is>
      </c>
      <c r="E20" s="2" t="n">
        <v>517.5</v>
      </c>
      <c r="F20" t="inlineStr">
        <is>
          <t>LUKA DONCIC 2018-19 PANINI PRIZM ROOKIE SIGNATURES AUTO 10 RC BGS 9.5 Q2167</t>
        </is>
      </c>
      <c r="G20" s="2" t="n">
        <v>2050</v>
      </c>
      <c r="H20" t="n">
        <v>21</v>
      </c>
      <c r="I20" s="3" t="n"/>
      <c r="J20" s="2">
        <f>IF(I20&lt;&gt;"",I20,G20)</f>
        <v/>
      </c>
      <c r="K20" s="2">
        <f>E20-J20</f>
        <v/>
      </c>
      <c r="L20" s="4">
        <f>IF(J20&gt;0,K20/J20,"")</f>
        <v/>
      </c>
    </row>
    <row r="21">
      <c r="A21" t="n">
        <v>20</v>
      </c>
      <c r="B21" t="inlineStr">
        <is>
          <t>Goldin</t>
        </is>
      </c>
      <c r="C21" t="inlineStr">
        <is>
          <t>2012-13 Panini Crusade Prizm Green &amp; Gold #142 Yao Ming (#02/25) - PSA GEM MT 10</t>
        </is>
      </c>
      <c r="D21" t="inlineStr">
        <is>
          <t>2026-04-03</t>
        </is>
      </c>
      <c r="E21" s="2" t="n">
        <v>93.15000000000001</v>
      </c>
      <c r="F21" t="inlineStr">
        <is>
          <t>2013-14 Panini Prizm - Autographs Kevin Durant #142 Blue Prizm /5 (AU)</t>
        </is>
      </c>
      <c r="G21" s="2" t="n">
        <v>1600</v>
      </c>
      <c r="H21" t="n">
        <v>17</v>
      </c>
      <c r="I21" s="3" t="n"/>
      <c r="J21" s="2">
        <f>IF(I21&lt;&gt;"",I21,G21)</f>
        <v/>
      </c>
      <c r="K21" s="2">
        <f>E21-J21</f>
        <v/>
      </c>
      <c r="L21" s="4">
        <f>IF(J21&gt;0,K21/J21,"")</f>
        <v/>
      </c>
    </row>
    <row r="22">
      <c r="A22" t="n">
        <v>21</v>
      </c>
      <c r="B22" t="inlineStr">
        <is>
          <t>Goldin</t>
        </is>
      </c>
      <c r="C22" t="inlineStr">
        <is>
          <t>2018-19 Panini Impeccable Rookie Signatures #IR-SGA Shai Gilgeous-Alexander Signed Rookie Card (#22/99) - PSA GEM MT 10 - Pop 4</t>
        </is>
      </c>
      <c r="D22" t="inlineStr">
        <is>
          <t>2026-05-14</t>
        </is>
      </c>
      <c r="E22" s="2" t="n">
        <v>3622.5</v>
      </c>
      <c r="F22" t="inlineStr">
        <is>
          <t>SHAI GILGEOUS-ALEXANDER 2018-19 PANINI FLAWLESS #RA-SGA ROOKIE AUTO RUBY RC 9/15</t>
        </is>
      </c>
      <c r="G22" s="2" t="n">
        <v>5100</v>
      </c>
      <c r="H22" t="n">
        <v>22</v>
      </c>
      <c r="I22" s="3" t="n"/>
      <c r="J22" s="2">
        <f>IF(I22&lt;&gt;"",I22,G22)</f>
        <v/>
      </c>
      <c r="K22" s="2">
        <f>E22-J22</f>
        <v/>
      </c>
      <c r="L22" s="4">
        <f>IF(J22&gt;0,K22/J22,"")</f>
        <v/>
      </c>
    </row>
    <row r="23">
      <c r="A23" t="n">
        <v>22</v>
      </c>
      <c r="B23" t="inlineStr">
        <is>
          <t>Goldin</t>
        </is>
      </c>
      <c r="C23" t="inlineStr">
        <is>
          <t xml:space="preserve">2021-22 Panini Flawless 75th Team Autographs '24 Black Box #75A-SCU Stephen Curry Signed Card (#1/1) - Panini Encased
</t>
        </is>
      </c>
      <c r="D23" t="inlineStr">
        <is>
          <t>2026-05-13</t>
        </is>
      </c>
      <c r="E23" s="2" t="n">
        <v>2900.3</v>
      </c>
      <c r="F23" t="inlineStr">
        <is>
          <t>2023 Panini Flawless Stephen Curry Scoring Title Auto #FST-SCU /25 PSA 9/10</t>
        </is>
      </c>
      <c r="G23" s="2" t="n">
        <v>4350</v>
      </c>
      <c r="H23" t="n">
        <v>18</v>
      </c>
      <c r="I23" s="3" t="n"/>
      <c r="J23" s="2">
        <f>IF(I23&lt;&gt;"",I23,G23)</f>
        <v/>
      </c>
      <c r="K23" s="2">
        <f>E23-J23</f>
        <v/>
      </c>
      <c r="L23" s="4">
        <f>IF(J23&gt;0,K23/J23,"")</f>
        <v/>
      </c>
    </row>
    <row r="24">
      <c r="A24" t="n">
        <v>23</v>
      </c>
      <c r="B24" t="inlineStr">
        <is>
          <t>Goldin</t>
        </is>
      </c>
      <c r="C24" t="inlineStr">
        <is>
          <t>2022-23 Panini Obsidian Black Color Blast #5 Kylian Mbappe - PSA NM-MT 8</t>
        </is>
      </c>
      <c r="D24" t="inlineStr">
        <is>
          <t>2026-06-14</t>
        </is>
      </c>
      <c r="E24" s="2" t="n">
        <v>575</v>
      </c>
      <c r="F24" t="inlineStr">
        <is>
          <t>2024-25 Panini Obsidian France Kylian Mbappe Color Blast BGS9.5 SSP</t>
        </is>
      </c>
      <c r="G24" s="2" t="n">
        <v>1925</v>
      </c>
      <c r="H24" t="n">
        <v>25</v>
      </c>
      <c r="I24" s="3" t="n"/>
      <c r="J24" s="2">
        <f>IF(I24&lt;&gt;"",I24,G24)</f>
        <v/>
      </c>
      <c r="K24" s="2">
        <f>E24-J24</f>
        <v/>
      </c>
      <c r="L24" s="4">
        <f>IF(J24&gt;0,K24/J24,"")</f>
        <v/>
      </c>
    </row>
    <row r="25">
      <c r="A25" t="n">
        <v>24</v>
      </c>
      <c r="B25" t="inlineStr">
        <is>
          <t>Goldin</t>
        </is>
      </c>
      <c r="C25" t="inlineStr">
        <is>
          <t>1996-97 Topps Stars Finest Refractors #24 Michael Jordan - BGS GEM MINT 9.5</t>
        </is>
      </c>
      <c r="D25" t="inlineStr">
        <is>
          <t>2026-06-16</t>
        </is>
      </c>
      <c r="E25" s="2" t="n">
        <v>1754.9</v>
      </c>
      <c r="F25" t="inlineStr">
        <is>
          <t>1996 Topps Stars Michael Jordan Finest Refractor #124 PSA 10</t>
        </is>
      </c>
      <c r="G25" s="2" t="n">
        <v>3050</v>
      </c>
      <c r="H25" t="n">
        <v>23</v>
      </c>
      <c r="I25" s="3" t="n"/>
      <c r="J25" s="2">
        <f>IF(I25&lt;&gt;"",I25,G25)</f>
        <v/>
      </c>
      <c r="K25" s="2">
        <f>E25-J25</f>
        <v/>
      </c>
      <c r="L25" s="4">
        <f>IF(J25&gt;0,K25/J25,"")</f>
        <v/>
      </c>
    </row>
    <row r="26">
      <c r="A26" t="n">
        <v>25</v>
      </c>
      <c r="B26" t="inlineStr">
        <is>
          <t>Goldin</t>
        </is>
      </c>
      <c r="C26" t="inlineStr">
        <is>
          <t>2011-12 Upper Deck Exquisite Collection UD Black Autographs #B-MJ Michael Jordan Signed Card (#08/10) - BGS MINT 9, Beckett 10 - Pop 3</t>
        </is>
      </c>
      <c r="D26" t="inlineStr">
        <is>
          <t>2026-06-15</t>
        </is>
      </c>
      <c r="E26" s="2" t="n">
        <v>6440</v>
      </c>
      <c r="F26" t="inlineStr">
        <is>
          <t>2011 -12 Exquisite Collection  Upper Deck Black B-MJ Michael Jordan BGS9/10 Auto</t>
        </is>
      </c>
      <c r="G26" s="2" t="n">
        <v>7600</v>
      </c>
      <c r="H26" t="n">
        <v>27</v>
      </c>
      <c r="I26" s="3" t="n"/>
      <c r="J26" s="2">
        <f>IF(I26&lt;&gt;"",I26,G26)</f>
        <v/>
      </c>
      <c r="K26" s="2">
        <f>E26-J26</f>
        <v/>
      </c>
      <c r="L26" s="4">
        <f>IF(J26&gt;0,K26/J26,"")</f>
        <v/>
      </c>
    </row>
    <row r="27">
      <c r="A27" t="n">
        <v>26</v>
      </c>
      <c r="B27" t="inlineStr">
        <is>
          <t>Goldin</t>
        </is>
      </c>
      <c r="C27" t="inlineStr">
        <is>
          <t>2025-26 Topps 3 The Paint #TP-11 Cooper Flagg Rookie Card (#13/15) - Topps Encased</t>
        </is>
      </c>
      <c r="D27" t="inlineStr">
        <is>
          <t>2026-06-17</t>
        </is>
      </c>
      <c r="E27" s="2" t="n">
        <v>723.35</v>
      </c>
      <c r="F27" t="inlineStr">
        <is>
          <t>Cooper Flagg (RC) 2025-26 Topps 3 - Rookie The Paint SSP /15 - Mavericks #TP-11</t>
        </is>
      </c>
      <c r="G27" s="2" t="n">
        <v>1775</v>
      </c>
      <c r="H27" t="n">
        <v>29</v>
      </c>
      <c r="I27" s="3" t="n"/>
      <c r="J27" s="2">
        <f>IF(I27&lt;&gt;"",I27,G27)</f>
        <v/>
      </c>
      <c r="K27" s="2">
        <f>E27-J27</f>
        <v/>
      </c>
      <c r="L27" s="4">
        <f>IF(J27&gt;0,K27/J27,"")</f>
        <v/>
      </c>
    </row>
    <row r="28">
      <c r="A28" t="n">
        <v>27</v>
      </c>
      <c r="B28" t="inlineStr">
        <is>
          <t>Goldin</t>
        </is>
      </c>
      <c r="C28" t="inlineStr">
        <is>
          <t>2025-26 Topps Chrome X-Fractor #221 Victor Wembanyama - PSA GEM MT 10</t>
        </is>
      </c>
      <c r="D28" t="inlineStr">
        <is>
          <t>2026-06-05</t>
        </is>
      </c>
      <c r="E28" s="2" t="n">
        <v>424.35</v>
      </c>
      <c r="F28" t="inlineStr">
        <is>
          <t>2025-26 Topps Chrome - Victor Wembanyama #221 Orange Pulsar Refractor /25</t>
        </is>
      </c>
      <c r="G28" s="2" t="n">
        <v>1450</v>
      </c>
      <c r="H28" t="n">
        <v>28</v>
      </c>
      <c r="I28" s="3" t="n"/>
      <c r="J28" s="2">
        <f>IF(I28&lt;&gt;"",I28,G28)</f>
        <v/>
      </c>
      <c r="K28" s="2">
        <f>E28-J28</f>
        <v/>
      </c>
      <c r="L28" s="4">
        <f>IF(J28&gt;0,K28/J28,"")</f>
        <v/>
      </c>
    </row>
    <row r="29">
      <c r="A29" t="n">
        <v>28</v>
      </c>
      <c r="B29" t="inlineStr">
        <is>
          <t>Goldin</t>
        </is>
      </c>
      <c r="C29" t="inlineStr">
        <is>
          <t xml:space="preserve">2016-17 Panini Donruss Optic Dominator Signatures Gold Vinyl #17 Jeremy Lin Signed Card (#1/1) - BGS PRISTINE 10, Beckett 10
</t>
        </is>
      </c>
      <c r="D29" t="inlineStr">
        <is>
          <t>2026-04-03</t>
        </is>
      </c>
      <c r="E29" s="2" t="n">
        <v>2242.5</v>
      </c>
      <c r="F29" t="inlineStr">
        <is>
          <t>2016-17 Donruss Optic Stephen Curry All Stars Pristine Gold #10/10 BGS 10</t>
        </is>
      </c>
      <c r="G29" s="2" t="n">
        <v>3260</v>
      </c>
      <c r="H29" t="n">
        <v>24</v>
      </c>
      <c r="I29" s="3" t="n"/>
      <c r="J29" s="2">
        <f>IF(I29&lt;&gt;"",I29,G29)</f>
        <v/>
      </c>
      <c r="K29" s="2">
        <f>E29-J29</f>
        <v/>
      </c>
      <c r="L29" s="4">
        <f>IF(J29&gt;0,K29/J29,"")</f>
        <v/>
      </c>
    </row>
    <row r="30">
      <c r="A30" t="n">
        <v>29</v>
      </c>
      <c r="B30" t="inlineStr">
        <is>
          <t>Goldin</t>
        </is>
      </c>
      <c r="C30" t="inlineStr">
        <is>
          <t>2025-26 Topps Chrome X-Fractor #221 Victor Wembanyama - PSA GEM MT 10</t>
        </is>
      </c>
      <c r="D30" t="inlineStr">
        <is>
          <t>2026-06-09</t>
        </is>
      </c>
      <c r="E30" s="2" t="n">
        <v>488.75</v>
      </c>
      <c r="F30" t="inlineStr">
        <is>
          <t>2025-26 Topps Chrome - Victor Wembanyama #221 Orange Pulsar Refractor /25</t>
        </is>
      </c>
      <c r="G30" s="2" t="n">
        <v>1450</v>
      </c>
      <c r="H30" t="n">
        <v>28</v>
      </c>
      <c r="I30" s="3" t="n"/>
      <c r="J30" s="2">
        <f>IF(I30&lt;&gt;"",I30,G30)</f>
        <v/>
      </c>
      <c r="K30" s="2">
        <f>E30-J30</f>
        <v/>
      </c>
      <c r="L30" s="4">
        <f>IF(J30&gt;0,K30/J30,"")</f>
        <v/>
      </c>
    </row>
    <row r="31">
      <c r="A31" t="n">
        <v>30</v>
      </c>
      <c r="B31" t="inlineStr">
        <is>
          <t>Goldin</t>
        </is>
      </c>
      <c r="C31" t="inlineStr">
        <is>
          <t>2024-25 Panini Eminence NBA 75th Team Autographs #NBA-KEV Kevin Garnett Signed Card (#06/10) - Panini Encased</t>
        </is>
      </c>
      <c r="D31" t="inlineStr">
        <is>
          <t>2026-05-06</t>
        </is>
      </c>
      <c r="E31" s="2" t="n">
        <v>403.65</v>
      </c>
      <c r="F31" t="inlineStr">
        <is>
          <t>1/3 ≈1/1 2024-25 Panini Eminence Kevin Garnett Emerald NBA 75th Anniversary Auto</t>
        </is>
      </c>
      <c r="G31" s="2" t="n">
        <v>1190</v>
      </c>
      <c r="H31" t="n">
        <v>20</v>
      </c>
      <c r="I31" s="3" t="n"/>
      <c r="J31" s="2">
        <f>IF(I31&lt;&gt;"",I31,G31)</f>
        <v/>
      </c>
      <c r="K31" s="2">
        <f>E31-J31</f>
        <v/>
      </c>
      <c r="L31" s="4">
        <f>IF(J31&gt;0,K31/J31,"")</f>
        <v/>
      </c>
    </row>
    <row r="32">
      <c r="A32" t="n">
        <v>31</v>
      </c>
      <c r="B32" t="inlineStr">
        <is>
          <t>Goldin</t>
        </is>
      </c>
      <c r="C32" t="inlineStr">
        <is>
          <t xml:space="preserve">2024-25 Panini Eminence Peerless Patch Autographs Platinum #PPA-MOB Evan Mobley Signed Patch Card (#1/1) - Panini Encased
</t>
        </is>
      </c>
      <c r="D32" t="inlineStr">
        <is>
          <t>2026-03-27</t>
        </is>
      </c>
      <c r="E32" s="2" t="n">
        <v>1955</v>
      </c>
      <c r="F32" t="inlineStr">
        <is>
          <t>EVAN MOBLEY 2024-25 PANINI EMINENCE PEERLESS GU LOGO PATCH AUTO PLATINUM 1/1</t>
        </is>
      </c>
      <c r="G32" s="2" t="n">
        <v>2729</v>
      </c>
      <c r="H32" t="n">
        <v>28</v>
      </c>
      <c r="I32" s="3" t="n"/>
      <c r="J32" s="2">
        <f>IF(I32&lt;&gt;"",I32,G32)</f>
        <v/>
      </c>
      <c r="K32" s="2">
        <f>E32-J32</f>
        <v/>
      </c>
      <c r="L32" s="4">
        <f>IF(J32&gt;0,K32/J32,"")</f>
        <v/>
      </c>
    </row>
    <row r="33">
      <c r="A33" t="n">
        <v>32</v>
      </c>
      <c r="B33" t="inlineStr">
        <is>
          <t>Goldin</t>
        </is>
      </c>
      <c r="C33" t="inlineStr">
        <is>
          <t>2025-26 Topps Chrome X-Fractor #221 Victor Wembanyama - PSA GEM MT 10</t>
        </is>
      </c>
      <c r="D33" t="inlineStr">
        <is>
          <t>2026-06-06</t>
        </is>
      </c>
      <c r="E33" s="2" t="n">
        <v>707.25</v>
      </c>
      <c r="F33" t="inlineStr">
        <is>
          <t>2025-26 Topps Chrome - Victor Wembanyama #221 Orange Pulsar Refractor /25</t>
        </is>
      </c>
      <c r="G33" s="2" t="n">
        <v>1450</v>
      </c>
      <c r="H33" t="n">
        <v>28</v>
      </c>
      <c r="I33" s="3" t="n"/>
      <c r="J33" s="2">
        <f>IF(I33&lt;&gt;"",I33,G33)</f>
        <v/>
      </c>
      <c r="K33" s="2">
        <f>E33-J33</f>
        <v/>
      </c>
      <c r="L33" s="4">
        <f>IF(J33&gt;0,K33/J33,"")</f>
        <v/>
      </c>
    </row>
    <row r="34">
      <c r="A34" t="n">
        <v>33</v>
      </c>
      <c r="B34" t="inlineStr">
        <is>
          <t>Goldin</t>
        </is>
      </c>
      <c r="C34" t="inlineStr">
        <is>
          <t>2023-24 Topps Mercury Gold Refractor #19 Victor Wembanyama Rookie Card (#12/50) - PSA GEM MT 10</t>
        </is>
      </c>
      <c r="D34" t="inlineStr">
        <is>
          <t>2026-04-10</t>
        </is>
      </c>
      <c r="E34" s="2" t="n">
        <v>1305.25</v>
      </c>
      <c r="F34" t="inlineStr">
        <is>
          <t>2023-24 Topps Chrome Victor Wembanyama 1972 Auto Gold Refractor RC #4/50 Spurs</t>
        </is>
      </c>
      <c r="G34" s="2" t="n">
        <v>2025</v>
      </c>
      <c r="H34" t="n">
        <v>25</v>
      </c>
      <c r="I34" s="3" t="n"/>
      <c r="J34" s="2">
        <f>IF(I34&lt;&gt;"",I34,G34)</f>
        <v/>
      </c>
      <c r="K34" s="2">
        <f>E34-J34</f>
        <v/>
      </c>
      <c r="L34" s="4">
        <f>IF(J34&gt;0,K34/J34,"")</f>
        <v/>
      </c>
    </row>
    <row r="35">
      <c r="A35" t="n">
        <v>34</v>
      </c>
      <c r="B35" t="inlineStr">
        <is>
          <t>Goldin</t>
        </is>
      </c>
      <c r="C35" t="inlineStr">
        <is>
          <t xml:space="preserve">2020-21 Panini Origins Rookie Jersey Autograph Gold #RJA-MAX Tyrese Maxey Signed Patch Rookie Card (#06/10) - PSA GEM MT 10 - Pop 1 </t>
        </is>
      </c>
      <c r="D35" t="inlineStr">
        <is>
          <t>2026-05-13</t>
        </is>
      </c>
      <c r="E35" s="2" t="n">
        <v>1098.25</v>
      </c>
      <c r="F35" t="inlineStr">
        <is>
          <t>2020-21 Panini Origins Gold Tyrese Maxey Rookie PATCH AUTO 10 76ERS PSA 10 Pop 1</t>
        </is>
      </c>
      <c r="G35" s="2" t="n">
        <v>1750</v>
      </c>
      <c r="H35" t="n">
        <v>31</v>
      </c>
      <c r="I35" s="3" t="n"/>
      <c r="J35" s="2">
        <f>IF(I35&lt;&gt;"",I35,G35)</f>
        <v/>
      </c>
      <c r="K35" s="2">
        <f>E35-J35</f>
        <v/>
      </c>
      <c r="L35" s="4">
        <f>IF(J35&gt;0,K35/J35,"")</f>
        <v/>
      </c>
    </row>
    <row r="36">
      <c r="A36" t="n">
        <v>35</v>
      </c>
      <c r="B36" t="inlineStr">
        <is>
          <t>Goldin</t>
        </is>
      </c>
      <c r="C36" t="inlineStr">
        <is>
          <t>2009-10 Topps #321 Stephen Curry Rookie Card - PSA NM-MT 8</t>
        </is>
      </c>
      <c r="D36" t="inlineStr">
        <is>
          <t>2026-04-07</t>
        </is>
      </c>
      <c r="E36" s="2" t="n">
        <v>1785.95</v>
      </c>
      <c r="F36" t="inlineStr">
        <is>
          <t>STEPHEN CURRY 2009-10 TOPPS ROOKIE CARD #321 NM-MT PSA 8 WARRIORS RC</t>
        </is>
      </c>
      <c r="G36" s="2" t="n">
        <v>2400</v>
      </c>
      <c r="H36" t="n">
        <v>25</v>
      </c>
      <c r="I36" s="3" t="n"/>
      <c r="J36" s="2">
        <f>IF(I36&lt;&gt;"",I36,G36)</f>
        <v/>
      </c>
      <c r="K36" s="2">
        <f>E36-J36</f>
        <v/>
      </c>
      <c r="L36" s="4">
        <f>IF(J36&gt;0,K36/J36,"")</f>
        <v/>
      </c>
    </row>
    <row r="37">
      <c r="A37" t="n">
        <v>36</v>
      </c>
      <c r="B37" t="inlineStr">
        <is>
          <t>Goldin</t>
        </is>
      </c>
      <c r="C37" t="inlineStr">
        <is>
          <t>2024-25 Panini Eminence NBA 75th Team Autographs Emerald #NBA-KEV Kevin Garnett Signed Card (#1/3) - Panini Encased</t>
        </is>
      </c>
      <c r="D37" t="inlineStr">
        <is>
          <t>2026-05-11</t>
        </is>
      </c>
      <c r="E37" s="2" t="n">
        <v>587.65</v>
      </c>
      <c r="F37" t="inlineStr">
        <is>
          <t>1/3 ≈1/1 2024-25 Panini Eminence Kevin Garnett Emerald NBA 75th Anniversary Auto</t>
        </is>
      </c>
      <c r="G37" s="2" t="n">
        <v>1190</v>
      </c>
      <c r="H37" t="n">
        <v>22</v>
      </c>
      <c r="I37" s="3" t="n"/>
      <c r="J37" s="2">
        <f>IF(I37&lt;&gt;"",I37,G37)</f>
        <v/>
      </c>
      <c r="K37" s="2">
        <f>E37-J37</f>
        <v/>
      </c>
      <c r="L37" s="4">
        <f>IF(J37&gt;0,K37/J37,"")</f>
        <v/>
      </c>
    </row>
    <row r="38">
      <c r="A38" t="n">
        <v>37</v>
      </c>
      <c r="B38" t="inlineStr">
        <is>
          <t>Goldin</t>
        </is>
      </c>
      <c r="C38" t="inlineStr">
        <is>
          <t>2024 Panini Select WNBA Zebra Prizm #72 Caitlin Clark Rookie Card - PSA MINT 9</t>
        </is>
      </c>
      <c r="D38" t="inlineStr">
        <is>
          <t>2026-05-19</t>
        </is>
      </c>
      <c r="E38" s="2" t="n">
        <v>1035</v>
      </c>
      <c r="F38" t="inlineStr">
        <is>
          <t>2024 PANINI SELECT WNBA ZEBRA PRIZM #72 CAITLIN CLARK ROOKIE RC PSA 9</t>
        </is>
      </c>
      <c r="G38" s="2" t="n">
        <v>1613</v>
      </c>
      <c r="H38" t="n">
        <v>32</v>
      </c>
      <c r="I38" s="3" t="n"/>
      <c r="J38" s="2">
        <f>IF(I38&lt;&gt;"",I38,G38)</f>
        <v/>
      </c>
      <c r="K38" s="2">
        <f>E38-J38</f>
        <v/>
      </c>
      <c r="L38" s="4">
        <f>IF(J38&gt;0,K38/J38,"")</f>
        <v/>
      </c>
    </row>
    <row r="39">
      <c r="A39" t="n">
        <v>38</v>
      </c>
      <c r="B39" t="inlineStr">
        <is>
          <t>Goldin</t>
        </is>
      </c>
      <c r="C39" t="inlineStr">
        <is>
          <t>2025-26 Topps All Kings #AK-10 Donovan Mitchell - PSA NM-MT 8</t>
        </is>
      </c>
      <c r="D39" t="inlineStr">
        <is>
          <t>2026-03-13</t>
        </is>
      </c>
      <c r="E39" s="2" t="n">
        <v>175.95</v>
      </c>
      <c r="F39" t="inlineStr">
        <is>
          <t>2025 Topps PSA 10 Vladimir Guerrero Jr ALL KINGS Case Hit #AK-10 Blue Jays</t>
        </is>
      </c>
      <c r="G39" s="2" t="n">
        <v>750</v>
      </c>
      <c r="H39" t="n">
        <v>16</v>
      </c>
      <c r="I39" s="3" t="n"/>
      <c r="J39" s="2">
        <f>IF(I39&lt;&gt;"",I39,G39)</f>
        <v/>
      </c>
      <c r="K39" s="2">
        <f>E39-J39</f>
        <v/>
      </c>
      <c r="L39" s="4">
        <f>IF(J39&gt;0,K39/J39,"")</f>
        <v/>
      </c>
    </row>
    <row r="40">
      <c r="A40" t="n">
        <v>39</v>
      </c>
      <c r="B40" t="inlineStr">
        <is>
          <t>Goldin</t>
        </is>
      </c>
      <c r="C40" t="inlineStr">
        <is>
          <t>2024-25 Panini Noir Emblazoned Ink #EBI-DML Damian Lillard Signed Card (#34/49) - Panini Encased</t>
        </is>
      </c>
      <c r="D40" t="inlineStr">
        <is>
          <t>2026-04-03</t>
        </is>
      </c>
      <c r="E40" s="2" t="n">
        <v>151.8</v>
      </c>
      <c r="F40" t="inlineStr">
        <is>
          <t>2024 PANINI FLAWLESS FLAWLESS VAULT MEM #FVM-DML DAMIAN LILLARD 9/14 PSA 7</t>
        </is>
      </c>
      <c r="G40" s="2" t="n">
        <v>675</v>
      </c>
      <c r="H40" t="n">
        <v>13</v>
      </c>
      <c r="I40" s="3" t="n"/>
      <c r="J40" s="2">
        <f>IF(I40&lt;&gt;"",I40,G40)</f>
        <v/>
      </c>
      <c r="K40" s="2">
        <f>E40-J40</f>
        <v/>
      </c>
      <c r="L40" s="4">
        <f>IF(J40&gt;0,K40/J40,"")</f>
        <v/>
      </c>
    </row>
    <row r="41">
      <c r="A41" t="n">
        <v>40</v>
      </c>
      <c r="B41" t="inlineStr">
        <is>
          <t>Goldin</t>
        </is>
      </c>
      <c r="C41" t="inlineStr">
        <is>
          <t>2021-22 Panini Flawless Horizontal Patch Autograph Ruby #HPA-SGA Shai Gilgeous-Alexander Signed Patch Card (#09/15) - PSA NM-MT 8, PSA/DNA NM-MT 8</t>
        </is>
      </c>
      <c r="D41" t="inlineStr">
        <is>
          <t>2026-04-16</t>
        </is>
      </c>
      <c r="E41" s="2" t="n">
        <v>4600</v>
      </c>
      <c r="F41" t="inlineStr">
        <is>
          <t>SHAI GILGEOUS-ALEXANDER 2018-19 PANINI FLAWLESS #RA-SGA ROOKIE AUTO RUBY RC 9/15</t>
        </is>
      </c>
      <c r="G41" s="2" t="n">
        <v>5100</v>
      </c>
      <c r="H41" t="n">
        <v>20</v>
      </c>
      <c r="I41" s="3" t="n"/>
      <c r="J41" s="2">
        <f>IF(I41&lt;&gt;"",I41,G41)</f>
        <v/>
      </c>
      <c r="K41" s="2">
        <f>E41-J41</f>
        <v/>
      </c>
      <c r="L41" s="4">
        <f>IF(J41&gt;0,K41/J41,"")</f>
        <v/>
      </c>
    </row>
    <row r="42">
      <c r="A42" t="n">
        <v>41</v>
      </c>
      <c r="B42" t="inlineStr">
        <is>
          <t>Goldin</t>
        </is>
      </c>
      <c r="C42" t="inlineStr">
        <is>
          <t>2015-16 Panini Immaculate Collection Autographs Red #27 Nikola Jokic Signed Rookie Card (#02/25) - PSA Authentic, PSA/DNA MINT 9</t>
        </is>
      </c>
      <c r="D42" t="inlineStr">
        <is>
          <t>2026-05-18</t>
        </is>
      </c>
      <c r="E42" s="2" t="n">
        <v>1495</v>
      </c>
      <c r="F42" t="inlineStr">
        <is>
          <t>NIKOLA JOKIC 2015-16 PANINI IMMACULATE COLL #27 RC AUTO RED!! 2/25! PSA READ</t>
        </is>
      </c>
      <c r="G42" s="2" t="n">
        <v>1985</v>
      </c>
      <c r="H42" t="n">
        <v>28</v>
      </c>
      <c r="I42" s="3" t="n"/>
      <c r="J42" s="2">
        <f>IF(I42&lt;&gt;"",I42,G42)</f>
        <v/>
      </c>
      <c r="K42" s="2">
        <f>E42-J42</f>
        <v/>
      </c>
      <c r="L42" s="4">
        <f>IF(J42&gt;0,K42/J42,"")</f>
        <v/>
      </c>
    </row>
    <row r="43">
      <c r="A43" t="n">
        <v>42</v>
      </c>
      <c r="B43" t="inlineStr">
        <is>
          <t>Goldin</t>
        </is>
      </c>
      <c r="C43" t="inlineStr">
        <is>
          <t>2025-26 Panini Instant Autograph #1 VJ Edgecombe Signed Rookie Card (#61/99) - Panini Encased</t>
        </is>
      </c>
      <c r="D43" t="inlineStr">
        <is>
          <t>2026-05-01</t>
        </is>
      </c>
      <c r="E43" s="2" t="n">
        <v>391</v>
      </c>
      <c r="F43" t="inlineStr">
        <is>
          <t>2025-26 Panini Instant #1 VJ Edgecombe Nba 76ers Rookie Debut Auto To /99 SP</t>
        </is>
      </c>
      <c r="G43" s="2" t="n">
        <v>875</v>
      </c>
      <c r="H43" t="n">
        <v>25</v>
      </c>
      <c r="I43" s="3" t="n"/>
      <c r="J43" s="2">
        <f>IF(I43&lt;&gt;"",I43,G43)</f>
        <v/>
      </c>
      <c r="K43" s="2">
        <f>E43-J43</f>
        <v/>
      </c>
      <c r="L43" s="4">
        <f>IF(J43&gt;0,K43/J43,"")</f>
        <v/>
      </c>
    </row>
    <row r="44">
      <c r="A44" t="n">
        <v>43</v>
      </c>
      <c r="B44" t="inlineStr">
        <is>
          <t>Goldin</t>
        </is>
      </c>
      <c r="C44" t="inlineStr">
        <is>
          <t>2022-23 Panini Obsidian Black Color Blast #7 Erling Haaland - PSA GEM MT 10</t>
        </is>
      </c>
      <c r="D44" t="inlineStr">
        <is>
          <t>2026-06-18</t>
        </is>
      </c>
      <c r="E44" s="2" t="n">
        <v>949.9</v>
      </c>
      <c r="F44" t="inlineStr">
        <is>
          <t>2022-23 Panini Obsidian Erling Haaland Black Color Blast SSP Man City #7 PSA 10</t>
        </is>
      </c>
      <c r="G44" s="2" t="n">
        <v>1400</v>
      </c>
      <c r="H44" t="n">
        <v>32</v>
      </c>
      <c r="I44" s="3" t="n"/>
      <c r="J44" s="2">
        <f>IF(I44&lt;&gt;"",I44,G44)</f>
        <v/>
      </c>
      <c r="K44" s="2">
        <f>E44-J44</f>
        <v/>
      </c>
      <c r="L44" s="4">
        <f>IF(J44&gt;0,K44/J44,"")</f>
        <v/>
      </c>
    </row>
    <row r="45">
      <c r="A45" t="n">
        <v>44</v>
      </c>
      <c r="B45" t="inlineStr">
        <is>
          <t>Goldin</t>
        </is>
      </c>
      <c r="C45" t="inlineStr">
        <is>
          <t>2025-26 Panini Instant Autograph #1 VJ Edgecombe Signed Rookie Card (#69/99) - Panini Encased</t>
        </is>
      </c>
      <c r="D45" t="inlineStr">
        <is>
          <t>2026-05-08</t>
        </is>
      </c>
      <c r="E45" s="2" t="n">
        <v>431.25</v>
      </c>
      <c r="F45" t="inlineStr">
        <is>
          <t>2025-26 Panini Instant #1 VJ Edgecombe Nba 76ers Rookie Debut Auto To /99 SP</t>
        </is>
      </c>
      <c r="G45" s="2" t="n">
        <v>875</v>
      </c>
      <c r="H45" t="n">
        <v>25</v>
      </c>
      <c r="I45" s="3" t="n"/>
      <c r="J45" s="2">
        <f>IF(I45&lt;&gt;"",I45,G45)</f>
        <v/>
      </c>
      <c r="K45" s="2">
        <f>E45-J45</f>
        <v/>
      </c>
      <c r="L45" s="4">
        <f>IF(J45&gt;0,K45/J45,"")</f>
        <v/>
      </c>
    </row>
    <row r="46">
      <c r="A46" t="n">
        <v>45</v>
      </c>
      <c r="B46" t="inlineStr">
        <is>
          <t>Goldin</t>
        </is>
      </c>
      <c r="C46" t="inlineStr">
        <is>
          <t>2025-26 Topps Chrome #251 Cooper Flagg Rookie Card - PSA GEM MT 10</t>
        </is>
      </c>
      <c r="D46" t="inlineStr">
        <is>
          <t>2026-04-10</t>
        </is>
      </c>
      <c r="E46" s="2" t="n">
        <v>373.75</v>
      </c>
      <c r="F46" t="inlineStr">
        <is>
          <t>2025-26 Topps Chrome Cooper Flagg #251 RC Rookie Card - PSA 10 Gem Mint</t>
        </is>
      </c>
      <c r="G46" s="2" t="n">
        <v>799</v>
      </c>
      <c r="H46" t="n">
        <v>30</v>
      </c>
      <c r="I46" s="3" t="n"/>
      <c r="J46" s="2">
        <f>IF(I46&lt;&gt;"",I46,G46)</f>
        <v/>
      </c>
      <c r="K46" s="2">
        <f>E46-J46</f>
        <v/>
      </c>
      <c r="L46" s="4">
        <f>IF(J46&gt;0,K46/J46,"")</f>
        <v/>
      </c>
    </row>
    <row r="47">
      <c r="A47" t="n">
        <v>46</v>
      </c>
      <c r="B47" t="inlineStr">
        <is>
          <t>Goldin</t>
        </is>
      </c>
      <c r="C47" t="inlineStr">
        <is>
          <t>2025 Panini Prizm FIFA Club World Cup Kaboom! #7 Alessandro Del Piero - PSA GEM MT 10</t>
        </is>
      </c>
      <c r="D47" t="inlineStr">
        <is>
          <t>2026-06-23</t>
        </is>
      </c>
      <c r="E47" s="2" t="n">
        <v>575</v>
      </c>
      <c r="F47" t="inlineStr">
        <is>
          <t>2025 PANINI PRIZM BLACK FOTL #173 CHET HOLMGREN /5 GOLD VINYL AUTO REDEMPTION</t>
        </is>
      </c>
      <c r="G47" s="2" t="n">
        <v>999.99</v>
      </c>
      <c r="H47" t="n">
        <v>22</v>
      </c>
      <c r="I47" s="3" t="n"/>
      <c r="J47" s="2">
        <f>IF(I47&lt;&gt;"",I47,G47)</f>
        <v/>
      </c>
      <c r="K47" s="2">
        <f>E47-J47</f>
        <v/>
      </c>
      <c r="L47" s="4">
        <f>IF(J47&gt;0,K47/J47,"")</f>
        <v/>
      </c>
    </row>
    <row r="48">
      <c r="A48" t="n">
        <v>47</v>
      </c>
      <c r="B48" t="inlineStr">
        <is>
          <t>Goldin</t>
        </is>
      </c>
      <c r="C48" t="inlineStr">
        <is>
          <t>2021-22 Panini Obsidian Black Color Blast #10 Lionel Messi - PSA MINT 9</t>
        </is>
      </c>
      <c r="D48" t="inlineStr">
        <is>
          <t>2026-06-18</t>
        </is>
      </c>
      <c r="E48" s="2" t="n">
        <v>983.25</v>
      </c>
      <c r="F48" t="inlineStr">
        <is>
          <t>2022-23 Panini Obsidian Erling Haaland Black Color Blast SSP Man City #7 PSA 10</t>
        </is>
      </c>
      <c r="G48" s="2" t="n">
        <v>1400</v>
      </c>
      <c r="H48" t="n">
        <v>23</v>
      </c>
      <c r="I48" s="3" t="n"/>
      <c r="J48" s="2">
        <f>IF(I48&lt;&gt;"",I48,G48)</f>
        <v/>
      </c>
      <c r="K48" s="2">
        <f>E48-J48</f>
        <v/>
      </c>
      <c r="L48" s="4">
        <f>IF(J48&gt;0,K48/J48,"")</f>
        <v/>
      </c>
    </row>
    <row r="49">
      <c r="A49" t="n">
        <v>48</v>
      </c>
      <c r="B49" t="inlineStr">
        <is>
          <t>Goldin</t>
        </is>
      </c>
      <c r="C49" t="inlineStr">
        <is>
          <t>2021-22 Panini Prizm Tiger Stripes Choice Prizm #37 Anthony Edwards - PSA GEM MT 10</t>
        </is>
      </c>
      <c r="D49" t="inlineStr">
        <is>
          <t>2026-04-15</t>
        </is>
      </c>
      <c r="E49" s="2" t="n">
        <v>1725</v>
      </c>
      <c r="F49" t="inlineStr">
        <is>
          <t>Anthony Edwards PSA 10 2021-22 Panini Prizm Choice Tiger Stripe Timberwolves #37</t>
        </is>
      </c>
      <c r="G49" s="2" t="n">
        <v>2136</v>
      </c>
      <c r="H49" t="n">
        <v>32</v>
      </c>
      <c r="I49" s="3" t="n"/>
      <c r="J49" s="2">
        <f>IF(I49&lt;&gt;"",I49,G49)</f>
        <v/>
      </c>
      <c r="K49" s="2">
        <f>E49-J49</f>
        <v/>
      </c>
      <c r="L49" s="4">
        <f>IF(J49&gt;0,K49/J49,"")</f>
        <v/>
      </c>
    </row>
    <row r="50">
      <c r="A50" t="n">
        <v>49</v>
      </c>
      <c r="B50" t="inlineStr">
        <is>
          <t>Goldin</t>
        </is>
      </c>
      <c r="C50" t="inlineStr">
        <is>
          <t>2025 Panini NSCC VIP Gold Gold Prizm #59 Kylian Mbappe (#01/10) - PSA MINT 9</t>
        </is>
      </c>
      <c r="D50" t="inlineStr">
        <is>
          <t>2026-06-16</t>
        </is>
      </c>
      <c r="E50" s="2" t="n">
        <v>143.75</v>
      </c>
      <c r="F50" t="inlineStr">
        <is>
          <t>2024-25 Panini Select La Liga - Vinicius Junior #233 Gold Mojo /10 &amp; Mbappe /59</t>
        </is>
      </c>
      <c r="G50" s="2" t="n">
        <v>545</v>
      </c>
      <c r="H50" t="n">
        <v>18</v>
      </c>
      <c r="I50" s="3" t="n"/>
      <c r="J50" s="2">
        <f>IF(I50&lt;&gt;"",I50,G50)</f>
        <v/>
      </c>
      <c r="K50" s="2">
        <f>E50-J50</f>
        <v/>
      </c>
      <c r="L50" s="4">
        <f>IF(J50&gt;0,K50/J50,"")</f>
        <v/>
      </c>
    </row>
    <row r="51">
      <c r="A51" t="n">
        <v>50</v>
      </c>
      <c r="B51" t="inlineStr">
        <is>
          <t>Goldin</t>
        </is>
      </c>
      <c r="C51" t="inlineStr">
        <is>
          <t xml:space="preserve">2021-22 Panini Flawless Update '20-21 Flawless USA Autographs Amethyst #USA-CUR Stephen Curry Signed Card (#2/3) - Panini Encased
</t>
        </is>
      </c>
      <c r="D51" t="inlineStr">
        <is>
          <t>2026-05-13</t>
        </is>
      </c>
      <c r="E51" s="2" t="n">
        <v>2875</v>
      </c>
      <c r="F51" t="inlineStr">
        <is>
          <t>2020-21 Panini Flawless Stephen Curry #USA-CUR Amethyst USA Basketball Auto /3</t>
        </is>
      </c>
      <c r="G51" s="2" t="n">
        <v>3250</v>
      </c>
      <c r="H51" t="n">
        <v>27</v>
      </c>
      <c r="I51" s="3" t="n"/>
      <c r="J51" s="2">
        <f>IF(I51&lt;&gt;"",I51,G51)</f>
        <v/>
      </c>
      <c r="K51" s="2">
        <f>E51-J51</f>
        <v/>
      </c>
      <c r="L51" s="4">
        <f>IF(J51&gt;0,K51/J51,"")</f>
        <v/>
      </c>
    </row>
    <row r="52">
      <c r="A52" t="n">
        <v>51</v>
      </c>
      <c r="B52" t="inlineStr">
        <is>
          <t>Goldin</t>
        </is>
      </c>
      <c r="C52" t="inlineStr">
        <is>
          <t>2019-20 Panini Obsidian Matrix Autographs Yellow #MA-GAN Giannis Antetokounmpo Signed Card (#10/10) - Panini Encased</t>
        </is>
      </c>
      <c r="D52" t="inlineStr">
        <is>
          <t>2026-03-27</t>
        </is>
      </c>
      <c r="E52" s="2" t="n">
        <v>166.75</v>
      </c>
      <c r="F52" t="inlineStr">
        <is>
          <t>Giannis Antetokounmpo 2019 Obsidian Matrix Yellow Auto MAGAN Bucks /10 PSA 9</t>
        </is>
      </c>
      <c r="G52" s="2" t="n">
        <v>510</v>
      </c>
      <c r="H52" t="n">
        <v>18</v>
      </c>
      <c r="I52" s="3" t="n"/>
      <c r="J52" s="2">
        <f>IF(I52&lt;&gt;"",I52,G52)</f>
        <v/>
      </c>
      <c r="K52" s="2">
        <f>E52-J52</f>
        <v/>
      </c>
      <c r="L52" s="4">
        <f>IF(J52&gt;0,K52/J52,"")</f>
        <v/>
      </c>
    </row>
    <row r="53">
      <c r="A53" t="n">
        <v>52</v>
      </c>
      <c r="B53" t="inlineStr">
        <is>
          <t>Goldin</t>
        </is>
      </c>
      <c r="C53" t="inlineStr">
        <is>
          <t>2024-25 Panini Flawless Gold #186 Anthony Davis Diamond Relic Card (#5/5) - PSA MINT 9 - Pop 1</t>
        </is>
      </c>
      <c r="D53" t="inlineStr">
        <is>
          <t>2026-05-12</t>
        </is>
      </c>
      <c r="E53" s="2" t="n">
        <v>138</v>
      </c>
      <c r="F53" t="inlineStr">
        <is>
          <t>ANTHONY DAVIS 2024-25 PANINI FLAWLESS #186 ALL-NBA DIAMOND GEM GOLD /5 MAVERICKS</t>
        </is>
      </c>
      <c r="G53" s="2" t="n">
        <v>472</v>
      </c>
      <c r="H53" t="n">
        <v>30</v>
      </c>
      <c r="I53" s="3" t="n"/>
      <c r="J53" s="2">
        <f>IF(I53&lt;&gt;"",I53,G53)</f>
        <v/>
      </c>
      <c r="K53" s="2">
        <f>E53-J53</f>
        <v/>
      </c>
      <c r="L53" s="4">
        <f>IF(J53&gt;0,K53/J53,"")</f>
        <v/>
      </c>
    </row>
    <row r="54">
      <c r="A54" t="n">
        <v>53</v>
      </c>
      <c r="B54" t="inlineStr">
        <is>
          <t>Goldin</t>
        </is>
      </c>
      <c r="C54" t="inlineStr">
        <is>
          <t>2025 Topps All Kings #AK-7 Mike Trout - PSA NM-MT 8</t>
        </is>
      </c>
      <c r="D54" t="inlineStr">
        <is>
          <t>2026-06-19</t>
        </is>
      </c>
      <c r="E54" s="2" t="n">
        <v>566.95</v>
      </c>
      <c r="F54" t="inlineStr">
        <is>
          <t>2025-26 Topps Jayson  Tatum All Kings Case Hit AK-7 🔥 SSP - EXT RARE CARD</t>
        </is>
      </c>
      <c r="G54" s="2" t="n">
        <v>899</v>
      </c>
      <c r="H54" t="n">
        <v>21</v>
      </c>
      <c r="I54" s="3" t="n"/>
      <c r="J54" s="2">
        <f>IF(I54&lt;&gt;"",I54,G54)</f>
        <v/>
      </c>
      <c r="K54" s="2">
        <f>E54-J54</f>
        <v/>
      </c>
      <c r="L54" s="4">
        <f>IF(J54&gt;0,K54/J54,"")</f>
        <v/>
      </c>
    </row>
    <row r="55">
      <c r="A55" t="n">
        <v>54</v>
      </c>
      <c r="B55" t="inlineStr">
        <is>
          <t>Goldin</t>
        </is>
      </c>
      <c r="C55" t="inlineStr">
        <is>
          <t>2022-23 Bowman University Best of 2022 Autograph #BOA-CC Caitlin Clark Signed Rookie Card - PSA GEM MT 10</t>
        </is>
      </c>
      <c r="D55" t="inlineStr">
        <is>
          <t>2026-05-11</t>
        </is>
      </c>
      <c r="E55" s="2" t="n">
        <v>1265</v>
      </c>
      <c r="F55" t="inlineStr">
        <is>
          <t>2022-23 Bowman University Best Caitlin Clark Best of 2022 Auto #BOA-CC PSA 10</t>
        </is>
      </c>
      <c r="G55" s="2" t="n">
        <v>1569</v>
      </c>
      <c r="H55" t="n">
        <v>28</v>
      </c>
      <c r="I55" s="3" t="n"/>
      <c r="J55" s="2">
        <f>IF(I55&lt;&gt;"",I55,G55)</f>
        <v/>
      </c>
      <c r="K55" s="2">
        <f>E55-J55</f>
        <v/>
      </c>
      <c r="L55" s="4">
        <f>IF(J55&gt;0,K55/J55,"")</f>
        <v/>
      </c>
    </row>
    <row r="56">
      <c r="A56" t="n">
        <v>55</v>
      </c>
      <c r="B56" t="inlineStr">
        <is>
          <t>Goldin</t>
        </is>
      </c>
      <c r="C56" t="inlineStr">
        <is>
          <t>2019-20 Panini Obsidian Matrix Autographs Electric Etch Yellow #MA-GAN Giannis Antetokounmpo Signed Card (#03/10) - PSA MINT 9</t>
        </is>
      </c>
      <c r="D56" t="inlineStr">
        <is>
          <t>2026-04-15</t>
        </is>
      </c>
      <c r="E56" s="2" t="n">
        <v>208.15</v>
      </c>
      <c r="F56" t="inlineStr">
        <is>
          <t>Giannis Antetokounmpo 2019 Obsidian Matrix Yellow Auto MAGAN Bucks /10 PSA 9</t>
        </is>
      </c>
      <c r="G56" s="2" t="n">
        <v>510</v>
      </c>
      <c r="H56" t="n">
        <v>18</v>
      </c>
      <c r="I56" s="3" t="n"/>
      <c r="J56" s="2">
        <f>IF(I56&lt;&gt;"",I56,G56)</f>
        <v/>
      </c>
      <c r="K56" s="2">
        <f>E56-J56</f>
        <v/>
      </c>
      <c r="L56" s="4">
        <f>IF(J56&gt;0,K56/J56,"")</f>
        <v/>
      </c>
    </row>
    <row r="57">
      <c r="A57" t="n">
        <v>56</v>
      </c>
      <c r="B57" t="inlineStr">
        <is>
          <t>Goldin</t>
        </is>
      </c>
      <c r="C57" t="inlineStr">
        <is>
          <t>2019-20 Panini Instant NBA Defensive Player of the Year Autographs #183 Giannis Antetokounmpo Signed Card (#3/5) - Panini Encased</t>
        </is>
      </c>
      <c r="D57" t="inlineStr">
        <is>
          <t>2026-03-28</t>
        </is>
      </c>
      <c r="E57" s="2" t="n">
        <v>195.5</v>
      </c>
      <c r="F57" t="inlineStr">
        <is>
          <t>GIANNIS ANTETOKOUNMPO 2019-20 Panini Instant Basketball #183 NBA DPOY Auto 3/5</t>
        </is>
      </c>
      <c r="G57" s="2" t="n">
        <v>475</v>
      </c>
      <c r="H57" t="n">
        <v>25</v>
      </c>
      <c r="I57" s="3" t="n"/>
      <c r="J57" s="2">
        <f>IF(I57&lt;&gt;"",I57,G57)</f>
        <v/>
      </c>
      <c r="K57" s="2">
        <f>E57-J57</f>
        <v/>
      </c>
      <c r="L57" s="4">
        <f>IF(J57&gt;0,K57/J57,"")</f>
        <v/>
      </c>
    </row>
    <row r="58">
      <c r="A58" t="n">
        <v>57</v>
      </c>
      <c r="B58" t="inlineStr">
        <is>
          <t>Goldin</t>
        </is>
      </c>
      <c r="C58" t="inlineStr">
        <is>
          <t xml:space="preserve">2024-25 Topps McDonald's Chrome Franchise Picks Red Refractor #REA-LEB LeBron James (#5/5) - PSA MINT 9
</t>
        </is>
      </c>
      <c r="D58" t="inlineStr">
        <is>
          <t>2026-06-14</t>
        </is>
      </c>
      <c r="E58" s="2" t="n">
        <v>615.25</v>
      </c>
      <c r="F58" t="inlineStr">
        <is>
          <t>2024 Topps McDonald’s Chrome Franchise Picks LeBron James Red Refractor #5/5!!</t>
        </is>
      </c>
      <c r="G58" s="2" t="n">
        <v>850</v>
      </c>
      <c r="H58" t="n">
        <v>23</v>
      </c>
      <c r="I58" s="3" t="n"/>
      <c r="J58" s="2">
        <f>IF(I58&lt;&gt;"",I58,G58)</f>
        <v/>
      </c>
      <c r="K58" s="2">
        <f>E58-J58</f>
        <v/>
      </c>
      <c r="L58" s="4">
        <f>IF(J58&gt;0,K58/J58,"")</f>
        <v/>
      </c>
    </row>
    <row r="59">
      <c r="A59" t="n">
        <v>58</v>
      </c>
      <c r="B59" t="inlineStr">
        <is>
          <t>Goldin</t>
        </is>
      </c>
      <c r="C59" t="inlineStr">
        <is>
          <t>2018-19 Panini National Convention Gold VIP Memorabilia #64 Stephen Curry Patch Card (#3/5) - BGS NM-MT 8</t>
        </is>
      </c>
      <c r="D59" t="inlineStr">
        <is>
          <t>2026-04-10</t>
        </is>
      </c>
      <c r="E59" s="2" t="n">
        <v>166.75</v>
      </c>
      <c r="F59" t="inlineStr">
        <is>
          <t>Stephen Curry 2018 Panini National VIP Gold Patch Card #64 3/5 BGS 8 NM-MT</t>
        </is>
      </c>
      <c r="G59" s="2" t="n">
        <v>399.95</v>
      </c>
      <c r="H59" t="n">
        <v>24</v>
      </c>
      <c r="I59" s="3" t="n"/>
      <c r="J59" s="2">
        <f>IF(I59&lt;&gt;"",I59,G59)</f>
        <v/>
      </c>
      <c r="K59" s="2">
        <f>E59-J59</f>
        <v/>
      </c>
      <c r="L59" s="4">
        <f>IF(J59&gt;0,K59/J59,"")</f>
        <v/>
      </c>
    </row>
    <row r="60">
      <c r="A60" t="n">
        <v>59</v>
      </c>
      <c r="B60" t="inlineStr">
        <is>
          <t>Goldin</t>
        </is>
      </c>
      <c r="C60" t="inlineStr">
        <is>
          <t xml:space="preserve">2024-25 Panini Flawless Vault Memorabilia #FVM-PAU Pau Gasol Patch Card (#5/6) - Panini Encased
</t>
        </is>
      </c>
      <c r="D60" t="inlineStr">
        <is>
          <t>2026-03-22</t>
        </is>
      </c>
      <c r="E60" s="2" t="n">
        <v>439.3</v>
      </c>
      <c r="F60" t="inlineStr">
        <is>
          <t>2024-25 Flawless VAULT MEMORABILIA  NIKE SWOOSH  Pau Gasol /6 🔥</t>
        </is>
      </c>
      <c r="G60" s="2" t="n">
        <v>660</v>
      </c>
      <c r="H60" t="n">
        <v>23</v>
      </c>
      <c r="I60" s="3" t="n"/>
      <c r="J60" s="2">
        <f>IF(I60&lt;&gt;"",I60,G60)</f>
        <v/>
      </c>
      <c r="K60" s="2">
        <f>E60-J60</f>
        <v/>
      </c>
      <c r="L60" s="4">
        <f>IF(J60&gt;0,K60/J60,"")</f>
        <v/>
      </c>
    </row>
    <row r="61">
      <c r="A61" t="n">
        <v>60</v>
      </c>
      <c r="B61" t="inlineStr">
        <is>
          <t>Goldin</t>
        </is>
      </c>
      <c r="C61" t="inlineStr">
        <is>
          <t>2024-25 Panini NSCC VIP Gold Color Blast #HK Harry Kane (#26/44) - PSA NM-MT 8</t>
        </is>
      </c>
      <c r="D61" t="inlineStr">
        <is>
          <t>2026-06-19</t>
        </is>
      </c>
      <c r="E61" s="2" t="n">
        <v>126.5</v>
      </c>
      <c r="F61" t="inlineStr">
        <is>
          <t>HARRY KANE 2025-26 TOPPS CHROME UEFA GLOBAL AUTO ORANGE /25 #GA26-HK Q5332</t>
        </is>
      </c>
      <c r="G61" s="2" t="n">
        <v>330</v>
      </c>
      <c r="H61" t="n">
        <v>14</v>
      </c>
      <c r="I61" s="3" t="n"/>
      <c r="J61" s="2">
        <f>IF(I61&lt;&gt;"",I61,G61)</f>
        <v/>
      </c>
      <c r="K61" s="2">
        <f>E61-J61</f>
        <v/>
      </c>
      <c r="L61" s="4">
        <f>IF(J61&gt;0,K61/J61,"")</f>
        <v/>
      </c>
    </row>
    <row r="62">
      <c r="A62" t="n">
        <v>61</v>
      </c>
      <c r="B62" t="inlineStr">
        <is>
          <t>Goldin</t>
        </is>
      </c>
      <c r="C62" t="inlineStr">
        <is>
          <t>2024-25 Panini Flawless All-Stars #125 Donovan Mitchell Diamond Relic Card (#08/10) - Panini Encased</t>
        </is>
      </c>
      <c r="D62" t="inlineStr">
        <is>
          <t>2026-03-28</t>
        </is>
      </c>
      <c r="E62" s="2" t="n">
        <v>86.25</v>
      </c>
      <c r="F62" t="inlineStr">
        <is>
          <t>2024-25 Panini Flawless Donovan Mitchell #125 All-Stars Diamond Cavaliers /10</t>
        </is>
      </c>
      <c r="G62" s="2" t="n">
        <v>283</v>
      </c>
      <c r="H62" t="n">
        <v>34</v>
      </c>
      <c r="I62" s="3" t="n"/>
      <c r="J62" s="2">
        <f>IF(I62&lt;&gt;"",I62,G62)</f>
        <v/>
      </c>
      <c r="K62" s="2">
        <f>E62-J62</f>
        <v/>
      </c>
      <c r="L62" s="4">
        <f>IF(J62&gt;0,K62/J62,"")</f>
        <v/>
      </c>
    </row>
    <row r="63">
      <c r="A63" t="n">
        <v>62</v>
      </c>
      <c r="B63" t="inlineStr">
        <is>
          <t>Goldin</t>
        </is>
      </c>
      <c r="C63" t="inlineStr">
        <is>
          <t>2020-21 Panini Obsidian Black Color Blast #2 Robert Lewandowski - PSA MINT 9</t>
        </is>
      </c>
      <c r="D63" t="inlineStr">
        <is>
          <t>2026-06-14</t>
        </is>
      </c>
      <c r="E63" s="2" t="n">
        <v>162.15</v>
      </c>
      <c r="F63" t="inlineStr">
        <is>
          <t>2022-23 Panini Obsidian ROBERT LEWANDOWSKI Black Color Blast SSP #3 PSA 10</t>
        </is>
      </c>
      <c r="G63" s="2" t="n">
        <v>350</v>
      </c>
      <c r="H63" t="n">
        <v>27</v>
      </c>
      <c r="I63" s="3" t="n"/>
      <c r="J63" s="2">
        <f>IF(I63&lt;&gt;"",I63,G63)</f>
        <v/>
      </c>
      <c r="K63" s="2">
        <f>E63-J63</f>
        <v/>
      </c>
      <c r="L63" s="4">
        <f>IF(J63&gt;0,K63/J63,"")</f>
        <v/>
      </c>
    </row>
    <row r="64">
      <c r="A64" t="n">
        <v>63</v>
      </c>
      <c r="B64" t="inlineStr">
        <is>
          <t>Goldin</t>
        </is>
      </c>
      <c r="C64" t="inlineStr">
        <is>
          <t>2018-19 Panini Contenders Optic Rookie Ticket Autographs Red #128 Luka Doncic, Dribbling, Signed Rookie Card (#86/99) - Panini Encased</t>
        </is>
      </c>
      <c r="D64" t="inlineStr">
        <is>
          <t>2026-05-13</t>
        </is>
      </c>
      <c r="E64" s="2" t="n">
        <v>2875</v>
      </c>
      <c r="F64" t="inlineStr">
        <is>
          <t>2018 Panini Contenders - Luka Doncic Optic Red #128 - Rookie Ticket - AUTO /99</t>
        </is>
      </c>
      <c r="G64" s="2" t="n">
        <v>3050</v>
      </c>
      <c r="H64" t="n">
        <v>33</v>
      </c>
      <c r="I64" s="3" t="n"/>
      <c r="J64" s="2">
        <f>IF(I64&lt;&gt;"",I64,G64)</f>
        <v/>
      </c>
      <c r="K64" s="2">
        <f>E64-J64</f>
        <v/>
      </c>
      <c r="L64" s="4">
        <f>IF(J64&gt;0,K64/J64,"")</f>
        <v/>
      </c>
    </row>
    <row r="65">
      <c r="A65" t="n">
        <v>64</v>
      </c>
      <c r="B65" t="inlineStr">
        <is>
          <t>Goldin</t>
        </is>
      </c>
      <c r="C65" t="inlineStr">
        <is>
          <t>1996-97 Topps NBA Stars Finest Refractor #124 Michael Jordan - PSA GEM MT 10</t>
        </is>
      </c>
      <c r="D65" t="inlineStr">
        <is>
          <t>2026-04-10</t>
        </is>
      </c>
      <c r="E65" s="2" t="n">
        <v>2876.15</v>
      </c>
      <c r="F65" t="inlineStr">
        <is>
          <t>1996 Topps Stars Michael Jordan Finest Refractor #124 PSA 10</t>
        </is>
      </c>
      <c r="G65" s="2" t="n">
        <v>3050</v>
      </c>
      <c r="H65" t="n">
        <v>25</v>
      </c>
      <c r="I65" s="3" t="n"/>
      <c r="J65" s="2">
        <f>IF(I65&lt;&gt;"",I65,G65)</f>
        <v/>
      </c>
      <c r="K65" s="2">
        <f>E65-J65</f>
        <v/>
      </c>
      <c r="L65" s="4">
        <f>IF(J65&gt;0,K65/J65,"")</f>
        <v/>
      </c>
    </row>
    <row r="66">
      <c r="A66" t="n">
        <v>65</v>
      </c>
      <c r="B66" t="inlineStr">
        <is>
          <t>Goldin</t>
        </is>
      </c>
      <c r="C66" t="inlineStr">
        <is>
          <t>2024-25 Bowman U Now Autographs Purple #17B Hannah Hidalgo Signed Card (#22/25) - PSA MINT 9</t>
        </is>
      </c>
      <c r="D66" t="inlineStr">
        <is>
          <t>2026-04-09</t>
        </is>
      </c>
      <c r="E66" s="2" t="n">
        <v>190.9</v>
      </c>
      <c r="F66" t="inlineStr">
        <is>
          <t>2024 Bowman U Now Hannah Hidalgo Notre Dame Purple Auto Psa 9 /25 #17B</t>
        </is>
      </c>
      <c r="G66" s="2" t="n">
        <v>350</v>
      </c>
      <c r="H66" t="n">
        <v>23</v>
      </c>
      <c r="I66" s="3" t="n"/>
      <c r="J66" s="2">
        <f>IF(I66&lt;&gt;"",I66,G66)</f>
        <v/>
      </c>
      <c r="K66" s="2">
        <f>E66-J66</f>
        <v/>
      </c>
      <c r="L66" s="4">
        <f>IF(J66&gt;0,K66/J66,"")</f>
        <v/>
      </c>
    </row>
    <row r="67">
      <c r="A67" t="n">
        <v>66</v>
      </c>
      <c r="B67" t="inlineStr">
        <is>
          <t>Goldin</t>
        </is>
      </c>
      <c r="C67" t="inlineStr">
        <is>
          <t>2012-13 Upper Deck Exquisite Collection Signatures #S-JE Julius Erving Signed Card (#25/30) - PSA MINT 9</t>
        </is>
      </c>
      <c r="D67" t="inlineStr">
        <is>
          <t>2026-04-07</t>
        </is>
      </c>
      <c r="E67" s="2" t="n">
        <v>166.75</v>
      </c>
      <c r="F67" t="inlineStr">
        <is>
          <t>2012 Upper Deck Exquisite Collection Signatures Julius Erving #S-JE #25/30 PSA 9</t>
        </is>
      </c>
      <c r="G67" s="2" t="n">
        <v>325</v>
      </c>
      <c r="H67" t="n">
        <v>27</v>
      </c>
      <c r="I67" s="3" t="n"/>
      <c r="J67" s="2">
        <f>IF(I67&lt;&gt;"",I67,G67)</f>
        <v/>
      </c>
      <c r="K67" s="2">
        <f>E67-J67</f>
        <v/>
      </c>
      <c r="L67" s="4">
        <f>IF(J67&gt;0,K67/J67,"")</f>
        <v/>
      </c>
    </row>
    <row r="68">
      <c r="A68" t="n">
        <v>67</v>
      </c>
      <c r="B68" t="inlineStr">
        <is>
          <t>Goldin</t>
        </is>
      </c>
      <c r="C68" t="inlineStr">
        <is>
          <t>1986-87 Fleer #7 Charles Barkley Signed Rookie Card - PSA Authentic, PSA/DNA Authentic</t>
        </is>
      </c>
      <c r="D68" t="inlineStr">
        <is>
          <t>2026-05-01</t>
        </is>
      </c>
      <c r="E68" s="2" t="n">
        <v>446.2</v>
      </c>
      <c r="F68" t="inlineStr">
        <is>
          <t>1986 Fleer #7 Charles Barkley Signed Rookie Card Auto PSA/DNA DUAL RC 76ers</t>
        </is>
      </c>
      <c r="G68" s="2" t="n">
        <v>600</v>
      </c>
      <c r="H68" t="n">
        <v>25</v>
      </c>
      <c r="I68" s="3" t="n"/>
      <c r="J68" s="2">
        <f>IF(I68&lt;&gt;"",I68,G68)</f>
        <v/>
      </c>
      <c r="K68" s="2">
        <f>E68-J68</f>
        <v/>
      </c>
      <c r="L68" s="4">
        <f>IF(J68&gt;0,K68/J68,"")</f>
        <v/>
      </c>
    </row>
    <row r="69">
      <c r="A69" t="n">
        <v>68</v>
      </c>
      <c r="B69" t="inlineStr">
        <is>
          <t>Goldin</t>
        </is>
      </c>
      <c r="C69" t="inlineStr">
        <is>
          <t>2025 Bowman Chrome U Black Refractor #109 Fernando Mendoza Rookie Card (#03/10) - PSA MINT 9</t>
        </is>
      </c>
      <c r="D69" t="inlineStr">
        <is>
          <t>2026-04-10</t>
        </is>
      </c>
      <c r="E69" s="2" t="n">
        <v>517.5</v>
      </c>
      <c r="F69" t="inlineStr">
        <is>
          <t>2025 Bowman Chrome U Black Refractor #109 Fernando Mendoza # 4/10 Indiana</t>
        </is>
      </c>
      <c r="G69" s="2" t="n">
        <v>658</v>
      </c>
      <c r="H69" t="n">
        <v>30</v>
      </c>
      <c r="I69" s="3" t="n"/>
      <c r="J69" s="2">
        <f>IF(I69&lt;&gt;"",I69,G69)</f>
        <v/>
      </c>
      <c r="K69" s="2">
        <f>E69-J69</f>
        <v/>
      </c>
      <c r="L69" s="4">
        <f>IF(J69&gt;0,K69/J69,"")</f>
        <v/>
      </c>
    </row>
    <row r="70">
      <c r="A70" t="n">
        <v>69</v>
      </c>
      <c r="B70" t="inlineStr">
        <is>
          <t>Goldin</t>
        </is>
      </c>
      <c r="C70" t="inlineStr">
        <is>
          <t>2023-24 Topps Chrome UCC Hobby Masters #HB-7 Lionel Messi - PSA MINT 9</t>
        </is>
      </c>
      <c r="D70" t="inlineStr">
        <is>
          <t>2026-06-14</t>
        </is>
      </c>
      <c r="E70" s="2" t="n">
        <v>161</v>
      </c>
      <c r="F70" t="inlineStr">
        <is>
          <t>2024 Topps Chrome UEFA Lionel Messi PSA 9 #HB-7 Hobby Master Case Hit SSP</t>
        </is>
      </c>
      <c r="G70" s="2" t="n">
        <v>300</v>
      </c>
      <c r="H70" t="n">
        <v>23</v>
      </c>
      <c r="I70" s="3" t="n"/>
      <c r="J70" s="2">
        <f>IF(I70&lt;&gt;"",I70,G70)</f>
        <v/>
      </c>
      <c r="K70" s="2">
        <f>E70-J70</f>
        <v/>
      </c>
      <c r="L70" s="4">
        <f>IF(J70&gt;0,K70/J70,"")</f>
        <v/>
      </c>
    </row>
    <row r="71">
      <c r="A71" t="n">
        <v>70</v>
      </c>
      <c r="B71" t="inlineStr">
        <is>
          <t>Goldin</t>
        </is>
      </c>
      <c r="C71" t="inlineStr">
        <is>
          <t>2023-24 Panini Select Red Cracked Ice #87 Victor Wembanyama Rookie Card - PSA GEM MT 10</t>
        </is>
      </c>
      <c r="D71" t="inlineStr">
        <is>
          <t>2026-04-07</t>
        </is>
      </c>
      <c r="E71" s="2" t="n">
        <v>288.65</v>
      </c>
      <c r="F71" t="inlineStr">
        <is>
          <t>Victor Wembanyama RC 2023-24 Select RED Cracked Ice #87 PSA 10 GEM MINT POP /6!</t>
        </is>
      </c>
      <c r="G71" s="2" t="n">
        <v>425</v>
      </c>
      <c r="H71" t="n">
        <v>30</v>
      </c>
      <c r="I71" s="3" t="n"/>
      <c r="J71" s="2">
        <f>IF(I71&lt;&gt;"",I71,G71)</f>
        <v/>
      </c>
      <c r="K71" s="2">
        <f>E71-J71</f>
        <v/>
      </c>
      <c r="L71" s="4">
        <f>IF(J71&gt;0,K71/J71,"")</f>
        <v/>
      </c>
    </row>
    <row r="72">
      <c r="A72" t="n">
        <v>71</v>
      </c>
      <c r="B72" t="inlineStr">
        <is>
          <t>Goldin</t>
        </is>
      </c>
      <c r="C72" t="inlineStr">
        <is>
          <t>2023-24 Panini One And One Number Ones #ONE-SON Shaquille O'Neal Signed Card (#20/49) - Panini Encased</t>
        </is>
      </c>
      <c r="D72" t="inlineStr">
        <is>
          <t>2026-03-19</t>
        </is>
      </c>
      <c r="E72" s="2" t="n">
        <v>264.5</v>
      </c>
      <c r="F72" t="inlineStr">
        <is>
          <t>2023-24 Panini One And One Shaquille O'Neal #ONE-SON Number Ones Auto Magic /49</t>
        </is>
      </c>
      <c r="G72" s="2" t="n">
        <v>382.77</v>
      </c>
      <c r="H72" t="n">
        <v>33</v>
      </c>
      <c r="I72" s="3" t="n"/>
      <c r="J72" s="2">
        <f>IF(I72&lt;&gt;"",I72,G72)</f>
        <v/>
      </c>
      <c r="K72" s="2">
        <f>E72-J72</f>
        <v/>
      </c>
      <c r="L72" s="4">
        <f>IF(J72&gt;0,K72/J72,"")</f>
        <v/>
      </c>
    </row>
    <row r="73">
      <c r="A73" t="n">
        <v>72</v>
      </c>
      <c r="B73" t="inlineStr">
        <is>
          <t>Goldin</t>
        </is>
      </c>
      <c r="C73" t="inlineStr">
        <is>
          <t>2023-24 Panini Phoenix Phoenix Autographs #PA-PAO Paolo Banchero Signed Card (#11/15) - PSA NM-MT 8</t>
        </is>
      </c>
      <c r="D73" t="inlineStr">
        <is>
          <t>2026-03-13</t>
        </is>
      </c>
      <c r="E73" s="2" t="n">
        <v>112.7</v>
      </c>
      <c r="F73" t="inlineStr">
        <is>
          <t>2023-24 Panini Phoenix Paolo Banchero SSP White Ice AUTO 11/15 ***MINT***</t>
        </is>
      </c>
      <c r="G73" s="2" t="n">
        <v>225</v>
      </c>
      <c r="H73" t="n">
        <v>20</v>
      </c>
      <c r="I73" s="3" t="n"/>
      <c r="J73" s="2">
        <f>IF(I73&lt;&gt;"",I73,G73)</f>
        <v/>
      </c>
      <c r="K73" s="2">
        <f>E73-J73</f>
        <v/>
      </c>
      <c r="L73" s="4">
        <f>IF(J73&gt;0,K73/J73,"")</f>
        <v/>
      </c>
    </row>
    <row r="74">
      <c r="A74" t="n">
        <v>73</v>
      </c>
      <c r="B74" t="inlineStr">
        <is>
          <t>Goldin</t>
        </is>
      </c>
      <c r="C74" t="inlineStr">
        <is>
          <t>2021-22 Panini Eminence Autographs Gold #21 Magic Johnson Signed Card (#2/5) - Panini Encased</t>
        </is>
      </c>
      <c r="D74" t="inlineStr">
        <is>
          <t>2026-05-06</t>
        </is>
      </c>
      <c r="E74" s="2" t="n">
        <v>290.95</v>
      </c>
      <c r="F74" t="inlineStr">
        <is>
          <t>2021-22 Panini Eminence Magic Johnson #21 Auto Gold /5</t>
        </is>
      </c>
      <c r="G74" s="2" t="n">
        <v>403</v>
      </c>
      <c r="H74" t="n">
        <v>27</v>
      </c>
      <c r="I74" s="3" t="n"/>
      <c r="J74" s="2">
        <f>IF(I74&lt;&gt;"",I74,G74)</f>
        <v/>
      </c>
      <c r="K74" s="2">
        <f>E74-J74</f>
        <v/>
      </c>
      <c r="L74" s="4">
        <f>IF(J74&gt;0,K74/J74,"")</f>
        <v/>
      </c>
    </row>
    <row r="75">
      <c r="A75" t="n">
        <v>74</v>
      </c>
      <c r="B75" t="inlineStr">
        <is>
          <t>Goldin</t>
        </is>
      </c>
      <c r="C75" t="inlineStr">
        <is>
          <t>2023-24 Panini Select Courtside Gold Prizm #251 Luka Doncic (#08/10) - PSA MINT 9</t>
        </is>
      </c>
      <c r="D75" t="inlineStr">
        <is>
          <t>2026-04-09</t>
        </is>
      </c>
      <c r="E75" s="2" t="n">
        <v>690</v>
      </c>
      <c r="F75" t="inlineStr">
        <is>
          <t>2023 Select Luka Doncic COURTSIDE Gold Prizm #251 PSA 9 LOW POP 2 RARE GOLD</t>
        </is>
      </c>
      <c r="G75" s="2" t="n">
        <v>800</v>
      </c>
      <c r="H75" t="n">
        <v>25</v>
      </c>
      <c r="I75" s="3" t="n"/>
      <c r="J75" s="2">
        <f>IF(I75&lt;&gt;"",I75,G75)</f>
        <v/>
      </c>
      <c r="K75" s="2">
        <f>E75-J75</f>
        <v/>
      </c>
      <c r="L75" s="4">
        <f>IF(J75&gt;0,K75/J75,"")</f>
        <v/>
      </c>
    </row>
    <row r="76">
      <c r="A76" t="n">
        <v>75</v>
      </c>
      <c r="B76" t="inlineStr">
        <is>
          <t>Goldin</t>
        </is>
      </c>
      <c r="C76" t="inlineStr">
        <is>
          <t>2024 Panini NSCC VIP Gold #41 Yao Ming (#06/10) - PSA NM-MT 8</t>
        </is>
      </c>
      <c r="D76" t="inlineStr">
        <is>
          <t>2026-03-13</t>
        </is>
      </c>
      <c r="E76" s="2" t="n">
        <v>64.40000000000001</v>
      </c>
      <c r="F76" t="inlineStr">
        <is>
          <t>2024-25 Topps Chrome UEFA Gavi Auto Gold Refractor #41/50 Barcelona</t>
        </is>
      </c>
      <c r="G76" s="2" t="n">
        <v>172.5</v>
      </c>
      <c r="H76" t="n">
        <v>17</v>
      </c>
      <c r="I76" s="3" t="n"/>
      <c r="J76" s="2">
        <f>IF(I76&lt;&gt;"",I76,G76)</f>
        <v/>
      </c>
      <c r="K76" s="2">
        <f>E76-J76</f>
        <v/>
      </c>
      <c r="L76" s="4">
        <f>IF(J76&gt;0,K76/J76,"")</f>
        <v/>
      </c>
    </row>
    <row r="77">
      <c r="A77" t="n">
        <v>76</v>
      </c>
      <c r="B77" t="inlineStr">
        <is>
          <t>Goldin</t>
        </is>
      </c>
      <c r="C77" t="inlineStr">
        <is>
          <t>1997-98 Bowman's Best Techniques Atomic Refractor #T2 Michael Jordan - PSA NM-MT 8</t>
        </is>
      </c>
      <c r="D77" t="inlineStr">
        <is>
          <t>2026-05-13</t>
        </is>
      </c>
      <c r="E77" s="2" t="n">
        <v>1033.85</v>
      </c>
      <c r="F77" t="inlineStr">
        <is>
          <t>1997-98 Bowman's Best #T2 MICHAEL JORDAN Techniques Atomic Refractor PSA 9 MINT</t>
        </is>
      </c>
      <c r="G77" s="2" t="n">
        <v>1136</v>
      </c>
      <c r="H77" t="n">
        <v>32</v>
      </c>
      <c r="I77" s="3" t="n"/>
      <c r="J77" s="2">
        <f>IF(I77&lt;&gt;"",I77,G77)</f>
        <v/>
      </c>
      <c r="K77" s="2">
        <f>E77-J77</f>
        <v/>
      </c>
      <c r="L77" s="4">
        <f>IF(J77&gt;0,K77/J77,"")</f>
        <v/>
      </c>
    </row>
    <row r="78">
      <c r="A78" t="n">
        <v>77</v>
      </c>
      <c r="B78" t="inlineStr">
        <is>
          <t>Goldin</t>
        </is>
      </c>
      <c r="C78" t="inlineStr">
        <is>
          <t>2025-26 Topps Chrome Rock Stars #RS-2 Victor Wembanyama - PSA GEM MT 10</t>
        </is>
      </c>
      <c r="D78" t="inlineStr">
        <is>
          <t>2026-06-07</t>
        </is>
      </c>
      <c r="E78" s="2" t="n">
        <v>823.4</v>
      </c>
      <c r="F78" t="inlineStr">
        <is>
          <t>151700725 Victor Wembanyama 2025 Topps Chrome #RS-2 Rock Stars SSP PSA 10</t>
        </is>
      </c>
      <c r="G78" s="2" t="n">
        <v>925</v>
      </c>
      <c r="H78" t="n">
        <v>25</v>
      </c>
      <c r="I78" s="3" t="n"/>
      <c r="J78" s="2">
        <f>IF(I78&lt;&gt;"",I78,G78)</f>
        <v/>
      </c>
      <c r="K78" s="2">
        <f>E78-J78</f>
        <v/>
      </c>
      <c r="L78" s="4">
        <f>IF(J78&gt;0,K78/J78,"")</f>
        <v/>
      </c>
    </row>
    <row r="79">
      <c r="A79" t="n">
        <v>78</v>
      </c>
      <c r="B79" t="inlineStr">
        <is>
          <t>Goldin</t>
        </is>
      </c>
      <c r="C79" t="inlineStr">
        <is>
          <t>2024-25 Panini Select FIFA Equalizers Zebra Prizm #4 Kylian Mbappe - PSA GEM MT 10 - Pop 2</t>
        </is>
      </c>
      <c r="D79" t="inlineStr">
        <is>
          <t>2026-06-16</t>
        </is>
      </c>
      <c r="E79" s="2" t="n">
        <v>149.5</v>
      </c>
      <c r="F79" t="inlineStr">
        <is>
          <t>Kylian Mbappe 2024-25 Panini Select FIFA Equalizers Zebra Prizm SP PSA 10 #4</t>
        </is>
      </c>
      <c r="G79" s="2" t="n">
        <v>250</v>
      </c>
      <c r="H79" t="n">
        <v>32</v>
      </c>
      <c r="I79" s="3" t="n"/>
      <c r="J79" s="2">
        <f>IF(I79&lt;&gt;"",I79,G79)</f>
        <v/>
      </c>
      <c r="K79" s="2">
        <f>E79-J79</f>
        <v/>
      </c>
      <c r="L79" s="4">
        <f>IF(J79&gt;0,K79/J79,"")</f>
        <v/>
      </c>
    </row>
    <row r="80">
      <c r="A80" t="n">
        <v>79</v>
      </c>
      <c r="B80" t="inlineStr">
        <is>
          <t>Goldin</t>
        </is>
      </c>
      <c r="C80" t="inlineStr">
        <is>
          <t>2024-25 Panini Flawless Legends Platinum #116 Dwyane Wade Diamond Relic Card (#1/1) - Panini Encased</t>
        </is>
      </c>
      <c r="D80" t="inlineStr">
        <is>
          <t>2026-05-11</t>
        </is>
      </c>
      <c r="E80" s="2" t="n">
        <v>1450.15</v>
      </c>
      <c r="F80" t="inlineStr">
        <is>
          <t>One Of One 1/1 2024-25 Panini Flawless Dwyane Wade #116 Legends Diamond Teal</t>
        </is>
      </c>
      <c r="G80" s="2" t="n">
        <v>1550</v>
      </c>
      <c r="H80" t="n">
        <v>32</v>
      </c>
      <c r="I80" s="3" t="n"/>
      <c r="J80" s="2">
        <f>IF(I80&lt;&gt;"",I80,G80)</f>
        <v/>
      </c>
      <c r="K80" s="2">
        <f>E80-J80</f>
        <v/>
      </c>
      <c r="L80" s="4">
        <f>IF(J80&gt;0,K80/J80,"")</f>
        <v/>
      </c>
    </row>
    <row r="81">
      <c r="A81" t="n">
        <v>80</v>
      </c>
      <c r="B81" t="inlineStr">
        <is>
          <t>Goldin</t>
        </is>
      </c>
      <c r="C81" t="inlineStr">
        <is>
          <t>1996-97 Topps Youthquake #YQ15 Kobe Bryant Rookie Card - SGC MINT 9</t>
        </is>
      </c>
      <c r="D81" t="inlineStr">
        <is>
          <t>2026-06-05</t>
        </is>
      </c>
      <c r="E81" s="2" t="n">
        <v>410.55</v>
      </c>
      <c r="F81" t="inlineStr">
        <is>
          <t>1996 Topps Youthquake Kobe Bryant Rookie Card PSA 9 MINT Graded Basketball #YQ15</t>
        </is>
      </c>
      <c r="G81" s="2" t="n">
        <v>505</v>
      </c>
      <c r="H81" t="n">
        <v>22</v>
      </c>
      <c r="I81" s="3" t="n"/>
      <c r="J81" s="2">
        <f>IF(I81&lt;&gt;"",I81,G81)</f>
        <v/>
      </c>
      <c r="K81" s="2">
        <f>E81-J81</f>
        <v/>
      </c>
      <c r="L81" s="4">
        <f>IF(J81&gt;0,K81/J81,"")</f>
        <v/>
      </c>
    </row>
    <row r="82">
      <c r="A82" t="n">
        <v>81</v>
      </c>
      <c r="B82" t="inlineStr">
        <is>
          <t>Goldin</t>
        </is>
      </c>
      <c r="C82" t="inlineStr">
        <is>
          <t>2024-25 Panini Flawless All-Stars #138 LeBron James Diamond Relic Card (#04/10) - Panini Encased</t>
        </is>
      </c>
      <c r="D82" t="inlineStr">
        <is>
          <t>2026-04-30</t>
        </is>
      </c>
      <c r="E82" s="2" t="n">
        <v>553.15</v>
      </c>
      <c r="F82" t="inlineStr">
        <is>
          <t>2024-25 Panini Flawless Lebron James #138 All-Stars Diamond Lakers /10</t>
        </is>
      </c>
      <c r="G82" s="2" t="n">
        <v>637</v>
      </c>
      <c r="H82" t="n">
        <v>34</v>
      </c>
      <c r="I82" s="3" t="n"/>
      <c r="J82" s="2">
        <f>IF(I82&lt;&gt;"",I82,G82)</f>
        <v/>
      </c>
      <c r="K82" s="2">
        <f>E82-J82</f>
        <v/>
      </c>
      <c r="L82" s="4">
        <f>IF(J82&gt;0,K82/J82,"")</f>
        <v/>
      </c>
    </row>
    <row r="83">
      <c r="A83" t="n">
        <v>82</v>
      </c>
      <c r="B83" t="inlineStr">
        <is>
          <t>Goldin</t>
        </is>
      </c>
      <c r="C83" t="inlineStr">
        <is>
          <t>2002-03 Topps Pristine Refractors #51 Yao Ming (#0985/1899) - BGS GEM MINT 9.5</t>
        </is>
      </c>
      <c r="D83" t="inlineStr">
        <is>
          <t>2026-04-04</t>
        </is>
      </c>
      <c r="E83" s="2" t="n">
        <v>115</v>
      </c>
      <c r="F83" t="inlineStr">
        <is>
          <t>2002-03 Topps Pristine Refractor /1899 Yao Ming #51 PSA 10 GEM MT Rookie RC HOF</t>
        </is>
      </c>
      <c r="G83" s="2" t="n">
        <v>195</v>
      </c>
      <c r="H83" t="n">
        <v>23</v>
      </c>
      <c r="I83" s="3" t="n"/>
      <c r="J83" s="2">
        <f>IF(I83&lt;&gt;"",I83,G83)</f>
        <v/>
      </c>
      <c r="K83" s="2">
        <f>E83-J83</f>
        <v/>
      </c>
      <c r="L83" s="4">
        <f>IF(J83&gt;0,K83/J83,"")</f>
        <v/>
      </c>
    </row>
    <row r="84">
      <c r="A84" t="n">
        <v>83</v>
      </c>
      <c r="B84" t="inlineStr">
        <is>
          <t>Goldin</t>
        </is>
      </c>
      <c r="C84" t="inlineStr">
        <is>
          <t>2021-22 Panini Prizm Sensational Signatures Mojo Prizm #SS-LDC Luka Doncic Signed Card (#11/25) - Panini Encased</t>
        </is>
      </c>
      <c r="D84" t="inlineStr">
        <is>
          <t>2026-04-04</t>
        </is>
      </c>
      <c r="E84" s="2" t="n">
        <v>1150</v>
      </c>
      <c r="F84" t="inlineStr">
        <is>
          <t>LUKA DONCIC 2018-19 PANINI PRIZM #SS-LDC SENSATIONAL SIGNATURES AUTO ROOKIE RC</t>
        </is>
      </c>
      <c r="G84" s="2" t="n">
        <v>1225</v>
      </c>
      <c r="H84" t="n">
        <v>29</v>
      </c>
      <c r="I84" s="3" t="n"/>
      <c r="J84" s="2">
        <f>IF(I84&lt;&gt;"",I84,G84)</f>
        <v/>
      </c>
      <c r="K84" s="2">
        <f>E84-J84</f>
        <v/>
      </c>
      <c r="L84" s="4">
        <f>IF(J84&gt;0,K84/J84,"")</f>
        <v/>
      </c>
    </row>
    <row r="85">
      <c r="A85" t="n">
        <v>84</v>
      </c>
      <c r="B85" t="inlineStr">
        <is>
          <t>Goldin</t>
        </is>
      </c>
      <c r="C85" t="inlineStr">
        <is>
          <t>2018-19 Panini Prizm Luck of The Lottery Silver Prizm #3 Luka Doncic Rookie Card - PSA GEM MT 10</t>
        </is>
      </c>
      <c r="D85" t="inlineStr">
        <is>
          <t>2026-04-16</t>
        </is>
      </c>
      <c r="E85" s="2" t="n">
        <v>212.75</v>
      </c>
      <c r="F85" t="inlineStr">
        <is>
          <t>2018-19 Prizm Luka Doncic Luck of the Lottery Silver Rookie RC #3 PSA 10</t>
        </is>
      </c>
      <c r="G85" s="2" t="n">
        <v>285</v>
      </c>
      <c r="H85" t="n">
        <v>36</v>
      </c>
      <c r="I85" s="3" t="n"/>
      <c r="J85" s="2">
        <f>IF(I85&lt;&gt;"",I85,G85)</f>
        <v/>
      </c>
      <c r="K85" s="2">
        <f>E85-J85</f>
        <v/>
      </c>
      <c r="L85" s="4">
        <f>IF(J85&gt;0,K85/J85,"")</f>
        <v/>
      </c>
    </row>
    <row r="86">
      <c r="A86" t="n">
        <v>85</v>
      </c>
      <c r="B86" t="inlineStr">
        <is>
          <t>Goldin</t>
        </is>
      </c>
      <c r="C86" t="inlineStr">
        <is>
          <t>2003-04 Upper Deck Rookie Exclusives Autograph #A58 Yao Ming Signed Card - PSA Authentic, PSA/DNA GEM MT 10</t>
        </is>
      </c>
      <c r="D86" t="inlineStr">
        <is>
          <t>2026-05-11</t>
        </is>
      </c>
      <c r="E86" s="2" t="n">
        <v>432.4</v>
      </c>
      <c r="F86" t="inlineStr">
        <is>
          <t>2003 Upper Deck Rookie Exclusives #A58 Yao Ming PSA AUTO 10 - RARE</t>
        </is>
      </c>
      <c r="G86" s="2" t="n">
        <v>500</v>
      </c>
      <c r="H86" t="n">
        <v>22</v>
      </c>
      <c r="I86" s="3" t="n"/>
      <c r="J86" s="2">
        <f>IF(I86&lt;&gt;"",I86,G86)</f>
        <v/>
      </c>
      <c r="K86" s="2">
        <f>E86-J86</f>
        <v/>
      </c>
      <c r="L86" s="4">
        <f>IF(J86&gt;0,K86/J86,"")</f>
        <v/>
      </c>
    </row>
    <row r="87">
      <c r="A87" t="n">
        <v>86</v>
      </c>
      <c r="B87" t="inlineStr">
        <is>
          <t>Goldin</t>
        </is>
      </c>
      <c r="C87" t="inlineStr">
        <is>
          <t>2024-25 Panini Prizm Black Luck of the Lottery Orange Prizm #13 Luka Doncic (#16/49) - PSA GEM MT 10</t>
        </is>
      </c>
      <c r="D87" t="inlineStr">
        <is>
          <t>2026-06-11</t>
        </is>
      </c>
      <c r="E87" s="2" t="n">
        <v>184</v>
      </c>
      <c r="F87" t="inlineStr">
        <is>
          <t>Panini 2024-25 Donruss Optic Red Hot Rookies #13 Castle Blue Prizm /49 PSA 10</t>
        </is>
      </c>
      <c r="G87" s="2" t="n">
        <v>249</v>
      </c>
      <c r="H87" t="n">
        <v>24</v>
      </c>
      <c r="I87" s="3" t="n"/>
      <c r="J87" s="2">
        <f>IF(I87&lt;&gt;"",I87,G87)</f>
        <v/>
      </c>
      <c r="K87" s="2">
        <f>E87-J87</f>
        <v/>
      </c>
      <c r="L87" s="4">
        <f>IF(J87&gt;0,K87/J87,"")</f>
        <v/>
      </c>
    </row>
    <row r="88">
      <c r="A88" t="n">
        <v>87</v>
      </c>
      <c r="B88" t="inlineStr">
        <is>
          <t>Goldin</t>
        </is>
      </c>
      <c r="C88" t="inlineStr">
        <is>
          <t>2024-25 Panini One and One Rookie Jersey Autographs Blue #RJA-KNE Dalton Knecht Signed Patch Rookie Card (#48/49) - Panini Encased</t>
        </is>
      </c>
      <c r="D88" t="inlineStr">
        <is>
          <t>2026-05-04</t>
        </is>
      </c>
      <c r="E88" s="2" t="n">
        <v>36.8</v>
      </c>
      <c r="F88" t="inlineStr">
        <is>
          <t>2024-25 Panini One And One Dalton Knecht Blue RC Jersey Patch Auto RPA /49</t>
        </is>
      </c>
      <c r="G88" s="2" t="n">
        <v>90</v>
      </c>
      <c r="H88" t="n">
        <v>28</v>
      </c>
      <c r="I88" s="3" t="n"/>
      <c r="J88" s="2">
        <f>IF(I88&lt;&gt;"",I88,G88)</f>
        <v/>
      </c>
      <c r="K88" s="2">
        <f>E88-J88</f>
        <v/>
      </c>
      <c r="L88" s="4">
        <f>IF(J88&gt;0,K88/J88,"")</f>
        <v/>
      </c>
    </row>
    <row r="89">
      <c r="A89" t="n">
        <v>88</v>
      </c>
      <c r="B89" t="inlineStr">
        <is>
          <t>Goldin</t>
        </is>
      </c>
      <c r="C89" t="inlineStr">
        <is>
          <t>2023-24 Panini Immaculate Collection Patch Autographs Red #IPA-DAV Anthony Davis Signed Patch Card (#02/15) - Panini Encased</t>
        </is>
      </c>
      <c r="D89" t="inlineStr">
        <is>
          <t>2026-04-03</t>
        </is>
      </c>
      <c r="E89" s="2" t="n">
        <v>209.3</v>
      </c>
      <c r="F89" t="inlineStr">
        <is>
          <t>2023-24 Panini Immaculate Anthony Davis Game Used Patch Auto #2/15 Lakers</t>
        </is>
      </c>
      <c r="G89" s="2" t="n">
        <v>262</v>
      </c>
      <c r="H89" t="n">
        <v>27</v>
      </c>
      <c r="I89" s="3" t="n"/>
      <c r="J89" s="2">
        <f>IF(I89&lt;&gt;"",I89,G89)</f>
        <v/>
      </c>
      <c r="K89" s="2">
        <f>E89-J89</f>
        <v/>
      </c>
      <c r="L89" s="4">
        <f>IF(J89&gt;0,K89/J89,"")</f>
        <v/>
      </c>
    </row>
    <row r="90">
      <c r="A90" t="n">
        <v>89</v>
      </c>
      <c r="B90" t="inlineStr">
        <is>
          <t>Goldin</t>
        </is>
      </c>
      <c r="C90" t="inlineStr">
        <is>
          <t>2023-24 Topps Chrome Autograph Gold Refractor #CG-MB Mikal Bridges Signed Card (#40/50) - PSA GEM MT 10</t>
        </is>
      </c>
      <c r="D90" t="inlineStr">
        <is>
          <t>2026-04-05</t>
        </is>
      </c>
      <c r="E90" s="2" t="n">
        <v>11.5</v>
      </c>
      <c r="F90" t="inlineStr">
        <is>
          <t>2023 Topps Chrome Gold Refractor 40/50 Mikal Bridges #CG-MB PSA 10 GEM MT Auto</t>
        </is>
      </c>
      <c r="G90" s="2" t="n">
        <v>61</v>
      </c>
      <c r="H90" t="n">
        <v>25</v>
      </c>
      <c r="I90" s="3" t="n"/>
      <c r="J90" s="2">
        <f>IF(I90&lt;&gt;"",I90,G90)</f>
        <v/>
      </c>
      <c r="K90" s="2">
        <f>E90-J90</f>
        <v/>
      </c>
      <c r="L90" s="4">
        <f>IF(J90&gt;0,K90/J90,"")</f>
        <v/>
      </c>
    </row>
    <row r="91">
      <c r="A91" t="n">
        <v>90</v>
      </c>
      <c r="B91" t="inlineStr">
        <is>
          <t>Goldin</t>
        </is>
      </c>
      <c r="C91" t="inlineStr">
        <is>
          <t>2015-16 Panini Noir Autographs Black &amp; White Platinum #NB-GAN Giannis Antetokounmpo Signed Card (#3/5) - Panini Encased</t>
        </is>
      </c>
      <c r="D91" t="inlineStr">
        <is>
          <t>2026-05-11</t>
        </is>
      </c>
      <c r="E91" s="2" t="n">
        <v>599.15</v>
      </c>
      <c r="F91" t="inlineStr">
        <is>
          <t>2015-16 Panini Noir Giannis Antetokounmpo Auto /5 #NB-GAN Bucks</t>
        </is>
      </c>
      <c r="G91" s="2" t="n">
        <v>645</v>
      </c>
      <c r="H91" t="n">
        <v>28</v>
      </c>
      <c r="I91" s="3" t="n"/>
      <c r="J91" s="2">
        <f>IF(I91&lt;&gt;"",I91,G91)</f>
        <v/>
      </c>
      <c r="K91" s="2">
        <f>E91-J91</f>
        <v/>
      </c>
      <c r="L91" s="4">
        <f>IF(J91&gt;0,K91/J91,"")</f>
        <v/>
      </c>
    </row>
    <row r="92">
      <c r="A92" t="n">
        <v>91</v>
      </c>
      <c r="B92" t="inlineStr">
        <is>
          <t>Goldin</t>
        </is>
      </c>
      <c r="C92" t="inlineStr">
        <is>
          <t>2024-25 Panini Eminence Elegant Marks #EM-KNE Dalton Knecht Signed Rookie Card (#02/10) - Panini Encased</t>
        </is>
      </c>
      <c r="D92" t="inlineStr">
        <is>
          <t>2026-05-10</t>
        </is>
      </c>
      <c r="E92" s="2" t="n">
        <v>218.5</v>
      </c>
      <c r="F92" t="inlineStr">
        <is>
          <t>DALTON KNECHT 2024-25 PANINI EMINENCE ELEGANT MARKS ROOKIE RC AUTO 02/10 LAKERS</t>
        </is>
      </c>
      <c r="G92" s="2" t="n">
        <v>263</v>
      </c>
      <c r="H92" t="n">
        <v>26</v>
      </c>
      <c r="I92" s="3" t="n"/>
      <c r="J92" s="2">
        <f>IF(I92&lt;&gt;"",I92,G92)</f>
        <v/>
      </c>
      <c r="K92" s="2">
        <f>E92-J92</f>
        <v/>
      </c>
      <c r="L92" s="4">
        <f>IF(J92&gt;0,K92/J92,"")</f>
        <v/>
      </c>
    </row>
    <row r="93">
      <c r="A93" t="n">
        <v>92</v>
      </c>
      <c r="B93" t="inlineStr">
        <is>
          <t>Goldin</t>
        </is>
      </c>
      <c r="C93" t="inlineStr">
        <is>
          <t>2024-25 Panini One And One Laundry Tag Brand Logo #LTB-WEL Jaylen Wells Patch Rookie Card (#10/10) - Panini Encased</t>
        </is>
      </c>
      <c r="D93" t="inlineStr">
        <is>
          <t>2026-03-20</t>
        </is>
      </c>
      <c r="E93" s="2" t="n">
        <v>126.5</v>
      </c>
      <c r="F93" t="inlineStr">
        <is>
          <t>10/10 ≈1/1 2024-25 Panini One And One Jaylen Wells RC Rookie Nike Tag Patch Gold</t>
        </is>
      </c>
      <c r="G93" s="2" t="n">
        <v>170.5</v>
      </c>
      <c r="H93" t="n">
        <v>30</v>
      </c>
      <c r="I93" s="3" t="n"/>
      <c r="J93" s="2">
        <f>IF(I93&lt;&gt;"",I93,G93)</f>
        <v/>
      </c>
      <c r="K93" s="2">
        <f>E93-J93</f>
        <v/>
      </c>
      <c r="L93" s="4">
        <f>IF(J93&gt;0,K93/J93,"")</f>
        <v/>
      </c>
    </row>
    <row r="94">
      <c r="A94" t="n">
        <v>93</v>
      </c>
      <c r="B94" t="inlineStr">
        <is>
          <t>Goldin</t>
        </is>
      </c>
      <c r="C94" t="inlineStr">
        <is>
          <t>2012-13 Panini Prestige True Colors Materials #25 Stephen Curry Relic Card - BGS MINT 9</t>
        </is>
      </c>
      <c r="D94" t="inlineStr">
        <is>
          <t>2026-04-03</t>
        </is>
      </c>
      <c r="E94" s="2" t="n">
        <v>97.75</v>
      </c>
      <c r="F94" t="inlineStr">
        <is>
          <t>2012-13 PANINI PRESTIGE TRUE COLORS MATERIALS #25 STEPHEN CURRY BGS 9</t>
        </is>
      </c>
      <c r="G94" s="2" t="n">
        <v>134.49</v>
      </c>
      <c r="H94" t="n">
        <v>29</v>
      </c>
      <c r="I94" s="3" t="n"/>
      <c r="J94" s="2">
        <f>IF(I94&lt;&gt;"",I94,G94)</f>
        <v/>
      </c>
      <c r="K94" s="2">
        <f>E94-J94</f>
        <v/>
      </c>
      <c r="L94" s="4">
        <f>IF(J94&gt;0,K94/J94,"")</f>
        <v/>
      </c>
    </row>
    <row r="95">
      <c r="A95" t="n">
        <v>94</v>
      </c>
      <c r="B95" t="inlineStr">
        <is>
          <t>Goldin</t>
        </is>
      </c>
      <c r="C95" t="inlineStr">
        <is>
          <t>2022-23 Topps Chrome UCC Hero Variation #1 Lionel Messi - SGC MT+ 9.5</t>
        </is>
      </c>
      <c r="D95" t="inlineStr">
        <is>
          <t>2026-06-15</t>
        </is>
      </c>
      <c r="E95" s="2" t="n">
        <v>115</v>
      </c>
      <c r="F95" t="inlineStr">
        <is>
          <t>2022-23 Topps Chrome UEFA #1 Lionel Messi Hero Variation RARE SP SGC 9.5 GEM</t>
        </is>
      </c>
      <c r="G95" s="2" t="n">
        <v>150</v>
      </c>
      <c r="H95" t="n">
        <v>30</v>
      </c>
      <c r="I95" s="3" t="n"/>
      <c r="J95" s="2">
        <f>IF(I95&lt;&gt;"",I95,G95)</f>
        <v/>
      </c>
      <c r="K95" s="2">
        <f>E95-J95</f>
        <v/>
      </c>
      <c r="L95" s="4">
        <f>IF(J95&gt;0,K95/J95,"")</f>
        <v/>
      </c>
    </row>
    <row r="96">
      <c r="A96" t="n">
        <v>95</v>
      </c>
      <c r="B96" t="inlineStr">
        <is>
          <t>Goldin</t>
        </is>
      </c>
      <c r="C96" t="inlineStr">
        <is>
          <t>1999-00 Upper Deck HOLOGrFX Maximum Jordan #MJ2 Michael Jordan - PSA MINT 9</t>
        </is>
      </c>
      <c r="D96" t="inlineStr">
        <is>
          <t>2026-04-17</t>
        </is>
      </c>
      <c r="E96" s="2" t="n">
        <v>128.8</v>
      </c>
      <c r="F96" t="inlineStr">
        <is>
          <t>MICHAEL JORDAN 1999-00 UPPER DECK HOLOGRFX MAXIMUM JORDAN #MJ2 PSA 9</t>
        </is>
      </c>
      <c r="G96" s="2" t="n">
        <v>160</v>
      </c>
      <c r="H96" t="n">
        <v>27</v>
      </c>
      <c r="I96" s="3" t="n"/>
      <c r="J96" s="2">
        <f>IF(I96&lt;&gt;"",I96,G96)</f>
        <v/>
      </c>
      <c r="K96" s="2">
        <f>E96-J96</f>
        <v/>
      </c>
      <c r="L96" s="4">
        <f>IF(J96&gt;0,K96/J96,"")</f>
        <v/>
      </c>
    </row>
    <row r="97">
      <c r="A97" t="n">
        <v>96</v>
      </c>
      <c r="B97" t="inlineStr">
        <is>
          <t>Goldin</t>
        </is>
      </c>
      <c r="C97" t="inlineStr">
        <is>
          <t>2018-19 Panini National VIP Cracked Ice #64 Stephen Curry (#42/50) - PSA MINT 9</t>
        </is>
      </c>
      <c r="D97" t="inlineStr">
        <is>
          <t>2026-04-07</t>
        </is>
      </c>
      <c r="E97" s="2" t="n">
        <v>97.75</v>
      </c>
      <c r="F97" t="inlineStr">
        <is>
          <t>2018 PANINI NATIONAL VIP CRACKED ICE #64 STEPHEN CURRY 42/50 PSA 9</t>
        </is>
      </c>
      <c r="G97" s="2" t="n">
        <v>126.56</v>
      </c>
      <c r="H97" t="n">
        <v>22</v>
      </c>
      <c r="I97" s="3" t="n"/>
      <c r="J97" s="2">
        <f>IF(I97&lt;&gt;"",I97,G97)</f>
        <v/>
      </c>
      <c r="K97" s="2">
        <f>E97-J97</f>
        <v/>
      </c>
      <c r="L97" s="4">
        <f>IF(J97&gt;0,K97/J97,"")</f>
        <v/>
      </c>
    </row>
    <row r="98">
      <c r="A98" t="n">
        <v>97</v>
      </c>
      <c r="B98" t="inlineStr">
        <is>
          <t>Goldin</t>
        </is>
      </c>
      <c r="C98" t="inlineStr">
        <is>
          <t>2020-21 Panini Prizm Draft Picks Tiger Stripe Choice Prizm #41 Anthony Edwards Rookie Card - PSA GEM MT 10</t>
        </is>
      </c>
      <c r="D98" t="inlineStr">
        <is>
          <t>2026-05-13</t>
        </is>
      </c>
      <c r="E98" s="2" t="n">
        <v>317.4</v>
      </c>
      <c r="F98" t="inlineStr">
        <is>
          <t>2020 PANINI PRIZM DRAFT PICKS TIGER STRIPE CHOICE #41 ANTHONY EDWARDS RC PSA 10</t>
        </is>
      </c>
      <c r="G98" s="2" t="n">
        <v>345</v>
      </c>
      <c r="H98" t="n">
        <v>33</v>
      </c>
      <c r="I98" s="3" t="n"/>
      <c r="J98" s="2">
        <f>IF(I98&lt;&gt;"",I98,G98)</f>
        <v/>
      </c>
      <c r="K98" s="2">
        <f>E98-J98</f>
        <v/>
      </c>
      <c r="L98" s="4">
        <f>IF(J98&gt;0,K98/J98,"")</f>
        <v/>
      </c>
    </row>
    <row r="99">
      <c r="A99" t="n">
        <v>98</v>
      </c>
      <c r="B99" t="inlineStr">
        <is>
          <t>Goldin</t>
        </is>
      </c>
      <c r="C99" t="inlineStr">
        <is>
          <t>2010-11 Panini Classics #179 Jeremy Lin Signed Rookie Card - BGS GEM MINT 9.5, Beckett 10</t>
        </is>
      </c>
      <c r="D99" t="inlineStr">
        <is>
          <t>2026-05-07</t>
        </is>
      </c>
      <c r="E99" s="2" t="n">
        <v>299</v>
      </c>
      <c r="F99" t="inlineStr">
        <is>
          <t>Jalen Brunson 2019 Panini Donruss Optic Fast Break Holo RC #179 PSA 10 *Pop 33*</t>
        </is>
      </c>
      <c r="G99" s="2" t="n">
        <v>325</v>
      </c>
      <c r="H99" t="n">
        <v>12</v>
      </c>
      <c r="I99" s="3" t="n"/>
      <c r="J99" s="2">
        <f>IF(I99&lt;&gt;"",I99,G99)</f>
        <v/>
      </c>
      <c r="K99" s="2">
        <f>E99-J99</f>
        <v/>
      </c>
      <c r="L99" s="4">
        <f>IF(J99&gt;0,K99/J99,"")</f>
        <v/>
      </c>
    </row>
    <row r="100">
      <c r="A100" t="n">
        <v>99</v>
      </c>
      <c r="B100" t="inlineStr">
        <is>
          <t>Goldin</t>
        </is>
      </c>
      <c r="C100" t="inlineStr">
        <is>
          <t>1996-97 Topps Stadium Club Class Acts Refractor #CA1 Michael Jordan/Jerry Stackhouse - PSA MINT 9</t>
        </is>
      </c>
      <c r="D100" t="inlineStr">
        <is>
          <t>2026-04-10</t>
        </is>
      </c>
      <c r="E100" s="2" t="n">
        <v>583.05</v>
      </c>
      <c r="F100" t="inlineStr">
        <is>
          <t>1996 MICHAEL JORDAN Topps Stadium Club Class Act REFRACTOR #CA1 PSA 9 MINT</t>
        </is>
      </c>
      <c r="G100" s="2" t="n">
        <v>599.99</v>
      </c>
      <c r="H100" t="n">
        <v>24</v>
      </c>
      <c r="I100" s="3" t="n"/>
      <c r="J100" s="2">
        <f>IF(I100&lt;&gt;"",I100,G100)</f>
        <v/>
      </c>
      <c r="K100" s="2">
        <f>E100-J100</f>
        <v/>
      </c>
      <c r="L100" s="4">
        <f>IF(J100&gt;0,K100/J100,"")</f>
        <v/>
      </c>
    </row>
    <row r="101">
      <c r="A101" t="n">
        <v>100</v>
      </c>
      <c r="B101" t="inlineStr">
        <is>
          <t>Goldin</t>
        </is>
      </c>
      <c r="C101" t="inlineStr">
        <is>
          <t>1986 Star #6 Michael Jordan - BGS NM-MT 8</t>
        </is>
      </c>
      <c r="D101" t="inlineStr">
        <is>
          <t>2026-05-12</t>
        </is>
      </c>
      <c r="E101" s="2" t="n">
        <v>2260.9</v>
      </c>
      <c r="F101" t="inlineStr">
        <is>
          <t>MICHAEL JORDAN BGS 8.5 1986 STAR 1984 OLYMPIAN #3 BULLS RC 9 CENTERING HOF</t>
        </is>
      </c>
      <c r="G101" s="2" t="n">
        <v>2275</v>
      </c>
      <c r="H101" t="n">
        <v>21</v>
      </c>
      <c r="I101" s="3" t="n"/>
      <c r="J101" s="2">
        <f>IF(I101&lt;&gt;"",I101,G101)</f>
        <v/>
      </c>
      <c r="K101" s="2">
        <f>E101-J101</f>
        <v/>
      </c>
      <c r="L101" s="4">
        <f>IF(J101&gt;0,K101/J101,"")</f>
        <v/>
      </c>
    </row>
    <row r="102">
      <c r="A102" t="n">
        <v>101</v>
      </c>
      <c r="B102" t="inlineStr">
        <is>
          <t>Goldin</t>
        </is>
      </c>
      <c r="C102" t="inlineStr">
        <is>
          <t>1997-98 SkyBox Hoops High Voltage #14 Michael Jordan - PSA MINT 9</t>
        </is>
      </c>
      <c r="D102" t="inlineStr">
        <is>
          <t>2026-05-10</t>
        </is>
      </c>
      <c r="E102" s="2" t="n">
        <v>3737.5</v>
      </c>
      <c r="F102" t="inlineStr">
        <is>
          <t>1997 Hoops MICHAEL JORDAN #14 High Voltage SSP PSA 9 Mint Only 18 Graded Higher!</t>
        </is>
      </c>
      <c r="G102" s="2" t="n">
        <v>3750</v>
      </c>
      <c r="H102" t="n">
        <v>20</v>
      </c>
      <c r="I102" s="3" t="n"/>
      <c r="J102" s="2">
        <f>IF(I102&lt;&gt;"",I102,G102)</f>
        <v/>
      </c>
      <c r="K102" s="2">
        <f>E102-J102</f>
        <v/>
      </c>
      <c r="L102" s="4">
        <f>IF(J102&gt;0,K102/J102,"")</f>
        <v/>
      </c>
    </row>
    <row r="103">
      <c r="A103" t="n">
        <v>102</v>
      </c>
      <c r="B103" t="inlineStr">
        <is>
          <t>Goldin</t>
        </is>
      </c>
      <c r="C103" t="inlineStr">
        <is>
          <t>2020-21 Panini Prizm Orange Ice Prizm #258 Anthony Edwards Rookie Card - PSA GEM MT 10</t>
        </is>
      </c>
      <c r="D103" t="inlineStr">
        <is>
          <t>2026-04-10</t>
        </is>
      </c>
      <c r="E103" s="2" t="n">
        <v>431.25</v>
      </c>
      <c r="F103" t="inlineStr">
        <is>
          <t>2020-21 Panini Prizm - Anthony Edwards #258 Orange Ice Prizm (RC) PSA 10 Rookie</t>
        </is>
      </c>
      <c r="G103" s="2" t="n">
        <v>439</v>
      </c>
      <c r="H103" t="n">
        <v>34</v>
      </c>
      <c r="I103" s="3" t="n"/>
      <c r="J103" s="2">
        <f>IF(I103&lt;&gt;"",I103,G103)</f>
        <v/>
      </c>
      <c r="K103" s="2">
        <f>E103-J103</f>
        <v/>
      </c>
      <c r="L103" s="4">
        <f>IF(J103&gt;0,K103/J103,"")</f>
        <v/>
      </c>
    </row>
    <row r="104">
      <c r="A104" t="n">
        <v>103</v>
      </c>
      <c r="B104" t="inlineStr">
        <is>
          <t>Goldin</t>
        </is>
      </c>
      <c r="C104" t="inlineStr">
        <is>
          <t xml:space="preserve">2021-22 Panini Flawless Draft Gem Signatures Ruby #DGS-LDD Luka Doncic Signed Card (#02/15) - Panini Encased
</t>
        </is>
      </c>
      <c r="D104" t="inlineStr">
        <is>
          <t>2026-05-11</t>
        </is>
      </c>
      <c r="E104" s="2" t="n">
        <v>1520.3</v>
      </c>
      <c r="F104" t="inlineStr">
        <is>
          <t>2021-22 Panini Flawless Luka Doncic #DGS-LDD Ruby Draft Gem Signatures Auto /15</t>
        </is>
      </c>
      <c r="G104" s="2" t="n">
        <v>1528</v>
      </c>
      <c r="H104" t="n">
        <v>36</v>
      </c>
      <c r="I104" s="3" t="n"/>
      <c r="J104" s="2">
        <f>IF(I104&lt;&gt;"",I104,G104)</f>
        <v/>
      </c>
      <c r="K104" s="2">
        <f>E104-J104</f>
        <v/>
      </c>
      <c r="L104" s="4">
        <f>IF(J104&gt;0,K104/J104,"")</f>
        <v/>
      </c>
    </row>
    <row r="105">
      <c r="A105" t="n">
        <v>104</v>
      </c>
      <c r="B105" t="inlineStr">
        <is>
          <t>Goldin</t>
        </is>
      </c>
      <c r="C105" t="inlineStr">
        <is>
          <t>2024-25 Panini Mosaic Collage Autographs Blue Mosaic #CAM-KNE Dalton Knecht Signed Rookie Card (#15/35) - Panini Encased</t>
        </is>
      </c>
      <c r="D105" t="inlineStr">
        <is>
          <t>2026-03-20</t>
        </is>
      </c>
      <c r="E105" s="2" t="n">
        <v>42.55</v>
      </c>
      <c r="F105" t="inlineStr">
        <is>
          <t>2024-25 Mosaic Collage Autographs Dalton Knecht #CAM-KNE Redemption /35 Blue🔥sp</t>
        </is>
      </c>
      <c r="G105" s="2" t="n">
        <v>50</v>
      </c>
      <c r="H105" t="n">
        <v>32</v>
      </c>
      <c r="I105" s="3" t="n"/>
      <c r="J105" s="2">
        <f>IF(I105&lt;&gt;"",I105,G105)</f>
        <v/>
      </c>
      <c r="K105" s="2">
        <f>E105-J105</f>
        <v/>
      </c>
      <c r="L105" s="4">
        <f>IF(J105&gt;0,K105/J105,"")</f>
        <v/>
      </c>
    </row>
    <row r="106">
      <c r="A106" t="n">
        <v>105</v>
      </c>
      <c r="B106" t="inlineStr">
        <is>
          <t>Goldin</t>
        </is>
      </c>
      <c r="C106" t="inlineStr">
        <is>
          <t>2001-02 Topps Chrome Fast &amp; Furious Refractor #FF05 Michael Jordan - PSA MINT 9</t>
        </is>
      </c>
      <c r="D106" t="inlineStr">
        <is>
          <t>2026-04-10</t>
        </is>
      </c>
      <c r="E106" s="2" t="n">
        <v>408.25</v>
      </c>
      <c r="F106" t="inlineStr">
        <is>
          <t>2001-02 Topps Chrome #FF05 Michael Jordan Fast and Furious Refractor PSA 9</t>
        </is>
      </c>
      <c r="G106" s="2" t="n">
        <v>414.99</v>
      </c>
      <c r="H106" t="n">
        <v>32</v>
      </c>
      <c r="I106" s="3" t="n"/>
      <c r="J106" s="2">
        <f>IF(I106&lt;&gt;"",I106,G106)</f>
        <v/>
      </c>
      <c r="K106" s="2">
        <f>E106-J106</f>
        <v/>
      </c>
      <c r="L106" s="4">
        <f>IF(J106&gt;0,K106/J106,"")</f>
        <v/>
      </c>
    </row>
    <row r="107">
      <c r="A107" t="n">
        <v>106</v>
      </c>
      <c r="B107" t="inlineStr">
        <is>
          <t>Goldin</t>
        </is>
      </c>
      <c r="C107" t="inlineStr">
        <is>
          <t>2024-25 Panini Instant Rookie Royalty WNBA Downtown #12 Angel Reese Rookie Card - PSA GEM MT 10</t>
        </is>
      </c>
      <c r="D107" t="inlineStr">
        <is>
          <t>2026-04-03</t>
        </is>
      </c>
      <c r="E107" s="2" t="n">
        <v>333.5</v>
      </c>
      <c r="F107" t="inlineStr">
        <is>
          <t>Jared McCain 2024-25 Panini Immaculate Rookie Patch Auto Blue 28/49 RC #122</t>
        </is>
      </c>
      <c r="G107" s="2" t="n">
        <v>338</v>
      </c>
      <c r="H107" t="n">
        <v>21</v>
      </c>
      <c r="I107" s="3" t="n"/>
      <c r="J107" s="2">
        <f>IF(I107&lt;&gt;"",I107,G107)</f>
        <v/>
      </c>
      <c r="K107" s="2">
        <f>E107-J107</f>
        <v/>
      </c>
      <c r="L107" s="4">
        <f>IF(J107&gt;0,K107/J107,"")</f>
        <v/>
      </c>
    </row>
    <row r="108">
      <c r="A108" t="n">
        <v>107</v>
      </c>
      <c r="B108" t="inlineStr">
        <is>
          <t>Goldin</t>
        </is>
      </c>
      <c r="C108" t="inlineStr">
        <is>
          <t>2014-15 Panini Immaculate Collection Ink Red #4 Ray Allen Signed Card (#23/25) - PSA NM-MT 8</t>
        </is>
      </c>
      <c r="D108" t="inlineStr">
        <is>
          <t>2026-04-03</t>
        </is>
      </c>
      <c r="E108" s="2" t="n">
        <v>57.5</v>
      </c>
      <c r="F108" t="inlineStr">
        <is>
          <t>2014-15 Panini Immaculate Collection Karl Malone #83 Ink Autographs Auto /49</t>
        </is>
      </c>
      <c r="G108" s="2" t="n">
        <v>53</v>
      </c>
      <c r="H108" t="n">
        <v>26</v>
      </c>
      <c r="I108" s="3" t="n"/>
      <c r="J108" s="2">
        <f>IF(I108&lt;&gt;"",I108,G108)</f>
        <v/>
      </c>
      <c r="K108" s="2">
        <f>E108-J108</f>
        <v/>
      </c>
      <c r="L108" s="4">
        <f>IF(J108&gt;0,K108/J108,"")</f>
        <v/>
      </c>
    </row>
    <row r="109">
      <c r="A109" t="n">
        <v>108</v>
      </c>
      <c r="B109" t="inlineStr">
        <is>
          <t>Goldin</t>
        </is>
      </c>
      <c r="C109" t="inlineStr">
        <is>
          <t>2022 Leaf Exotic Leopard #BA-MB2 Matas Buzelis Signed Rookie Card (#1/1) - Leaf Encased</t>
        </is>
      </c>
      <c r="D109" t="inlineStr">
        <is>
          <t>2026-03-20</t>
        </is>
      </c>
      <c r="E109" s="2" t="n">
        <v>105.8</v>
      </c>
      <c r="F109" t="inlineStr">
        <is>
          <t>2022-23 Leaf Exotic Cheetah Prismatic 1/1 Matas Buzelis #BA-MB2 Auto</t>
        </is>
      </c>
      <c r="G109" s="2" t="n">
        <v>99.98999999999999</v>
      </c>
      <c r="H109" t="n">
        <v>25</v>
      </c>
      <c r="I109" s="3" t="n"/>
      <c r="J109" s="2">
        <f>IF(I109&lt;&gt;"",I109,G109)</f>
        <v/>
      </c>
      <c r="K109" s="2">
        <f>E109-J109</f>
        <v/>
      </c>
      <c r="L109" s="4">
        <f>IF(J109&gt;0,K109/J109,"")</f>
        <v/>
      </c>
    </row>
    <row r="110">
      <c r="A110" t="n">
        <v>109</v>
      </c>
      <c r="B110" t="inlineStr">
        <is>
          <t>Goldin</t>
        </is>
      </c>
      <c r="C110" t="inlineStr">
        <is>
          <t>2011-12 Fleer Retro Flair Showcase #FL-2 LeBron James (#100/150) - BGS MINT 9</t>
        </is>
      </c>
      <c r="D110" t="inlineStr">
        <is>
          <t>2026-05-13</t>
        </is>
      </c>
      <c r="E110" s="2" t="n">
        <v>356.5</v>
      </c>
      <c r="F110" t="inlineStr">
        <is>
          <t>2011-12 Fleer Retro - Flair Showcase LeBron James ROW 0!! #FL-2 /150 BGS 9</t>
        </is>
      </c>
      <c r="G110" s="2" t="n">
        <v>349.99</v>
      </c>
      <c r="H110" t="n">
        <v>30</v>
      </c>
      <c r="I110" s="3" t="n"/>
      <c r="J110" s="2">
        <f>IF(I110&lt;&gt;"",I110,G110)</f>
        <v/>
      </c>
      <c r="K110" s="2">
        <f>E110-J110</f>
        <v/>
      </c>
      <c r="L110" s="4">
        <f>IF(J110&gt;0,K110/J110,"")</f>
        <v/>
      </c>
    </row>
    <row r="111">
      <c r="A111" t="n">
        <v>110</v>
      </c>
      <c r="B111" t="inlineStr">
        <is>
          <t>Goldin</t>
        </is>
      </c>
      <c r="C111" t="inlineStr">
        <is>
          <t>2010 Topps Chrome Refractor #190 Mike Stanton Rookie Card - PSA GEM MT 10</t>
        </is>
      </c>
      <c r="D111" t="inlineStr">
        <is>
          <t>2026-05-08</t>
        </is>
      </c>
      <c r="E111" s="2" t="n">
        <v>126.5</v>
      </c>
      <c r="F111" t="inlineStr">
        <is>
          <t>2010 Topps Chrome Refractor Mike Giancarlo Stanton #190 PSA 10 Rookie RC</t>
        </is>
      </c>
      <c r="G111" s="2" t="n">
        <v>115.5</v>
      </c>
      <c r="H111" t="n">
        <v>30</v>
      </c>
      <c r="I111" s="3" t="n"/>
      <c r="J111" s="2">
        <f>IF(I111&lt;&gt;"",I111,G111)</f>
        <v/>
      </c>
      <c r="K111" s="2">
        <f>E111-J111</f>
        <v/>
      </c>
      <c r="L111" s="4">
        <f>IF(J111&gt;0,K111/J111,"")</f>
        <v/>
      </c>
    </row>
    <row r="112">
      <c r="A112" t="n">
        <v>111</v>
      </c>
      <c r="B112" t="inlineStr">
        <is>
          <t>Goldin</t>
        </is>
      </c>
      <c r="C112" t="inlineStr">
        <is>
          <t>2018-19 Panini National Convention Gold VIP Prizm Cracked Ice #64 Stephen Curry (#48/50) - BGS GEM MINT 9.5</t>
        </is>
      </c>
      <c r="D112" t="inlineStr">
        <is>
          <t>2026-04-06</t>
        </is>
      </c>
      <c r="E112" s="2" t="n">
        <v>138</v>
      </c>
      <c r="F112" t="inlineStr">
        <is>
          <t>2018 PANINI NATIONAL VIP CRACKED ICE #64 STEPHEN CURRY 42/50 PSA 9</t>
        </is>
      </c>
      <c r="G112" s="2" t="n">
        <v>126.56</v>
      </c>
      <c r="H112" t="n">
        <v>22</v>
      </c>
      <c r="I112" s="3" t="n"/>
      <c r="J112" s="2">
        <f>IF(I112&lt;&gt;"",I112,G112)</f>
        <v/>
      </c>
      <c r="K112" s="2">
        <f>E112-J112</f>
        <v/>
      </c>
      <c r="L112" s="4">
        <f>IF(J112&gt;0,K112/J112,"")</f>
        <v/>
      </c>
    </row>
    <row r="113">
      <c r="A113" t="n">
        <v>112</v>
      </c>
      <c r="B113" t="inlineStr">
        <is>
          <t>Goldin</t>
        </is>
      </c>
      <c r="C113" t="inlineStr">
        <is>
          <t>2024-25 Panini Prizm Black Sensational Signatures Gold Shimmer Prizm FOTL #SS-HOL Chet Holmgren Signed Card (#07/10) - Jersey Number - Panini Encased</t>
        </is>
      </c>
      <c r="D113" t="inlineStr">
        <is>
          <t>2026-03-15</t>
        </is>
      </c>
      <c r="E113" s="2" t="n">
        <v>241.5</v>
      </c>
      <c r="F113" t="inlineStr">
        <is>
          <t>Chet Holmgren 2024-25 Panini Prizm Black Sensational Signatures Gold Redemption</t>
        </is>
      </c>
      <c r="G113" s="2" t="n">
        <v>225</v>
      </c>
      <c r="H113" t="n">
        <v>33</v>
      </c>
      <c r="I113" s="3" t="n"/>
      <c r="J113" s="2">
        <f>IF(I113&lt;&gt;"",I113,G113)</f>
        <v/>
      </c>
      <c r="K113" s="2">
        <f>E113-J113</f>
        <v/>
      </c>
      <c r="L113" s="4">
        <f>IF(J113&gt;0,K113/J113,"")</f>
        <v/>
      </c>
    </row>
    <row r="114">
      <c r="A114" t="n">
        <v>113</v>
      </c>
      <c r="B114" t="inlineStr">
        <is>
          <t>Goldin</t>
        </is>
      </c>
      <c r="C114" t="inlineStr">
        <is>
          <t>1998-99 Upper Deck Black Diamond Triple #11 Michael Jordan - PSA MINT 9</t>
        </is>
      </c>
      <c r="D114" t="inlineStr">
        <is>
          <t>2026-04-15</t>
        </is>
      </c>
      <c r="E114" s="2" t="n">
        <v>302.45</v>
      </c>
      <c r="F114" t="inlineStr">
        <is>
          <t>1998-99 Upper Deck Black Diamond Michael Jordan #11 Triple Diamond /1500 - PSA 9</t>
        </is>
      </c>
      <c r="G114" s="2" t="n">
        <v>280</v>
      </c>
      <c r="H114" t="n">
        <v>29</v>
      </c>
      <c r="I114" s="3" t="n"/>
      <c r="J114" s="2">
        <f>IF(I114&lt;&gt;"",I114,G114)</f>
        <v/>
      </c>
      <c r="K114" s="2">
        <f>E114-J114</f>
        <v/>
      </c>
      <c r="L114" s="4">
        <f>IF(J114&gt;0,K114/J114,"")</f>
        <v/>
      </c>
    </row>
    <row r="115">
      <c r="A115" t="n">
        <v>114</v>
      </c>
      <c r="B115" t="inlineStr">
        <is>
          <t>Goldin</t>
        </is>
      </c>
      <c r="C115" t="inlineStr">
        <is>
          <t>2025-26 Topps Chrome Refractor #254 Kon Knueppel Rookie Card - PSA MINT 9</t>
        </is>
      </c>
      <c r="D115" t="inlineStr">
        <is>
          <t>2026-06-05</t>
        </is>
      </c>
      <c r="E115" s="2" t="n">
        <v>57.5</v>
      </c>
      <c r="F115" t="inlineStr">
        <is>
          <t>2025-26 Topps Chrome Kon Knueppel RC Rookie X-Fractor Refractor Hornets #254</t>
        </is>
      </c>
      <c r="G115" s="2" t="n">
        <v>33</v>
      </c>
      <c r="H115" t="n">
        <v>30</v>
      </c>
      <c r="I115" s="3" t="n"/>
      <c r="J115" s="2">
        <f>IF(I115&lt;&gt;"",I115,G115)</f>
        <v/>
      </c>
      <c r="K115" s="2">
        <f>E115-J115</f>
        <v/>
      </c>
      <c r="L115" s="4">
        <f>IF(J115&gt;0,K115/J115,"")</f>
        <v/>
      </c>
    </row>
    <row r="116">
      <c r="A116" t="n">
        <v>115</v>
      </c>
      <c r="B116" t="inlineStr">
        <is>
          <t>Goldin</t>
        </is>
      </c>
      <c r="C116" t="inlineStr">
        <is>
          <t>2025-26 Topps Chrome Refractor #254 Kon Knueppel Rookie Card - PSA MINT 9</t>
        </is>
      </c>
      <c r="D116" t="inlineStr">
        <is>
          <t>2026-06-05</t>
        </is>
      </c>
      <c r="E116" s="2" t="n">
        <v>63.25</v>
      </c>
      <c r="F116" t="inlineStr">
        <is>
          <t>2025-26 Topps Chrome Kon Knueppel RC Rookie X-Fractor Refractor Hornets #254</t>
        </is>
      </c>
      <c r="G116" s="2" t="n">
        <v>33</v>
      </c>
      <c r="H116" t="n">
        <v>30</v>
      </c>
      <c r="I116" s="3" t="n"/>
      <c r="J116" s="2">
        <f>IF(I116&lt;&gt;"",I116,G116)</f>
        <v/>
      </c>
      <c r="K116" s="2">
        <f>E116-J116</f>
        <v/>
      </c>
      <c r="L116" s="4">
        <f>IF(J116&gt;0,K116/J116,"")</f>
        <v/>
      </c>
    </row>
    <row r="117">
      <c r="A117" t="n">
        <v>116</v>
      </c>
      <c r="B117" t="inlineStr">
        <is>
          <t>Goldin</t>
        </is>
      </c>
      <c r="C117" t="inlineStr">
        <is>
          <t>2024-25 Panini Noir Auto Noir Black and White #ANB-GHL Grant Hill Signed Card (#09/99) - Panini Encased</t>
        </is>
      </c>
      <c r="D117" t="inlineStr">
        <is>
          <t>2026-04-03</t>
        </is>
      </c>
      <c r="E117" s="2" t="n">
        <v>94.3</v>
      </c>
      <c r="F117" t="inlineStr">
        <is>
          <t>Grant Hill 2024-25 Panini Noir Auto Noir Black White /99 #ANB-GHL</t>
        </is>
      </c>
      <c r="G117" s="2" t="n">
        <v>63</v>
      </c>
      <c r="H117" t="n">
        <v>36</v>
      </c>
      <c r="I117" s="3" t="n"/>
      <c r="J117" s="2">
        <f>IF(I117&lt;&gt;"",I117,G117)</f>
        <v/>
      </c>
      <c r="K117" s="2">
        <f>E117-J117</f>
        <v/>
      </c>
      <c r="L117" s="4">
        <f>IF(J117&gt;0,K117/J117,"")</f>
        <v/>
      </c>
    </row>
    <row r="118">
      <c r="A118" t="n">
        <v>117</v>
      </c>
      <c r="B118" t="inlineStr">
        <is>
          <t>Goldin</t>
        </is>
      </c>
      <c r="C118" t="inlineStr">
        <is>
          <t>2009-10 Panini Limited Banner Season Material #8 Kobe Bryant Relic Card (#82/99) - PSA NM-MT 8</t>
        </is>
      </c>
      <c r="D118" t="inlineStr">
        <is>
          <t>2026-05-29</t>
        </is>
      </c>
      <c r="E118" s="2" t="n">
        <v>517.5</v>
      </c>
      <c r="F118" t="inlineStr">
        <is>
          <t>KOBE BRYANT 2009 Limited Banner Season Materials /99 PSA 8 Game-Worn Patch</t>
        </is>
      </c>
      <c r="G118" s="2" t="n">
        <v>485</v>
      </c>
      <c r="H118" t="n">
        <v>22</v>
      </c>
      <c r="I118" s="3" t="n"/>
      <c r="J118" s="2">
        <f>IF(I118&lt;&gt;"",I118,G118)</f>
        <v/>
      </c>
      <c r="K118" s="2">
        <f>E118-J118</f>
        <v/>
      </c>
      <c r="L118" s="4">
        <f>IF(J118&gt;0,K118/J118,"")</f>
        <v/>
      </c>
    </row>
    <row r="119">
      <c r="A119" t="n">
        <v>118</v>
      </c>
      <c r="B119" t="inlineStr">
        <is>
          <t>Goldin</t>
        </is>
      </c>
      <c r="C119" t="inlineStr">
        <is>
          <t>2025-26 Panini Instant NBA Draft Night #1 Cooper Flagg Rookie Card - PSA GEM MT 10</t>
        </is>
      </c>
      <c r="D119" t="inlineStr">
        <is>
          <t>2026-04-03</t>
        </is>
      </c>
      <c r="E119" s="2" t="n">
        <v>39.1</v>
      </c>
      <c r="F119" t="inlineStr">
        <is>
          <t>2025-26 Panini Instant NBA Cooper Flagg Rated Rookie RC #1/14417 #RRR-16</t>
        </is>
      </c>
      <c r="G119" s="2" t="n">
        <v>5.55</v>
      </c>
      <c r="H119" t="n">
        <v>25</v>
      </c>
      <c r="I119" s="3" t="n"/>
      <c r="J119" s="2">
        <f>IF(I119&lt;&gt;"",I119,G119)</f>
        <v/>
      </c>
      <c r="K119" s="2">
        <f>E119-J119</f>
        <v/>
      </c>
      <c r="L119" s="4">
        <f>IF(J119&gt;0,K119/J119,"")</f>
        <v/>
      </c>
    </row>
    <row r="120">
      <c r="A120" t="n">
        <v>119</v>
      </c>
      <c r="B120" t="inlineStr">
        <is>
          <t>Goldin</t>
        </is>
      </c>
      <c r="C120" t="inlineStr">
        <is>
          <t>2024 Panini NSCC VIP Gold Purple Sparkle #1 Caitlin Clark Rookie Card (#32/49) - PSA NM-MT 8</t>
        </is>
      </c>
      <c r="D120" t="inlineStr">
        <is>
          <t>2026-04-06</t>
        </is>
      </c>
      <c r="E120" s="2" t="n">
        <v>178.25</v>
      </c>
      <c r="F120" t="inlineStr">
        <is>
          <t>2024 PANINI NSCC VIP GOLD BLUE SPARKLE CAITLIN CLARK ROOKIE RC 71/124 PSA 9</t>
        </is>
      </c>
      <c r="G120" s="2" t="n">
        <v>142.5</v>
      </c>
      <c r="H120" t="n">
        <v>27</v>
      </c>
      <c r="I120" s="3" t="n"/>
      <c r="J120" s="2">
        <f>IF(I120&lt;&gt;"",I120,G120)</f>
        <v/>
      </c>
      <c r="K120" s="2">
        <f>E120-J120</f>
        <v/>
      </c>
      <c r="L120" s="4">
        <f>IF(J120&gt;0,K120/J120,"")</f>
        <v/>
      </c>
    </row>
    <row r="121">
      <c r="A121" t="n">
        <v>120</v>
      </c>
      <c r="B121" t="inlineStr">
        <is>
          <t>Goldin</t>
        </is>
      </c>
      <c r="C121" t="inlineStr">
        <is>
          <t>2007 Topps Allen &amp; Ginter #300 Ichiro Suzuki Signed Card - BGS Authentic Autograph</t>
        </is>
      </c>
      <c r="D121" t="inlineStr">
        <is>
          <t>2026-05-14</t>
        </is>
      </c>
      <c r="E121" s="2" t="n">
        <v>264.5</v>
      </c>
      <c r="F121" t="inlineStr">
        <is>
          <t>2007 Topps Allen &amp; Ginter's - Ichiro Suzuki #300 Autograph BGS Authentic Auto</t>
        </is>
      </c>
      <c r="G121" s="2" t="n">
        <v>222.5</v>
      </c>
      <c r="H121" t="n">
        <v>29</v>
      </c>
      <c r="I121" s="3" t="n"/>
      <c r="J121" s="2">
        <f>IF(I121&lt;&gt;"",I121,G121)</f>
        <v/>
      </c>
      <c r="K121" s="2">
        <f>E121-J121</f>
        <v/>
      </c>
      <c r="L121" s="4">
        <f>IF(J121&gt;0,K121/J121,"")</f>
        <v/>
      </c>
    </row>
    <row r="122">
      <c r="A122" t="n">
        <v>121</v>
      </c>
      <c r="B122" t="inlineStr">
        <is>
          <t>Goldin</t>
        </is>
      </c>
      <c r="C122" t="inlineStr">
        <is>
          <t>2024-25 Panini One and One Blue #7 Anthony Edwards (#06/35) - Panini Encased</t>
        </is>
      </c>
      <c r="D122" t="inlineStr">
        <is>
          <t>2026-03-24</t>
        </is>
      </c>
      <c r="E122" s="2" t="n">
        <v>172.5</v>
      </c>
      <c r="F122" t="inlineStr">
        <is>
          <t>2024-25 Panini One And One - Veterans Blue #7 Anthony Edwards /35 SEALED</t>
        </is>
      </c>
      <c r="G122" s="2" t="n">
        <v>110</v>
      </c>
      <c r="H122" t="n">
        <v>29</v>
      </c>
      <c r="I122" s="3" t="n"/>
      <c r="J122" s="2">
        <f>IF(I122&lt;&gt;"",I122,G122)</f>
        <v/>
      </c>
      <c r="K122" s="2">
        <f>E122-J122</f>
        <v/>
      </c>
      <c r="L122" s="4">
        <f>IF(J122&gt;0,K122/J122,"")</f>
        <v/>
      </c>
    </row>
    <row r="123">
      <c r="A123" t="n">
        <v>122</v>
      </c>
      <c r="B123" t="inlineStr">
        <is>
          <t>Goldin</t>
        </is>
      </c>
      <c r="C123" t="inlineStr">
        <is>
          <t>2018-19 Panini Select In Flight Signatures Tie-Dye Prizm #IF-GAN Giannis Antetokounmpo Signed Card (#04/25) - BGS GEM MINT 9.5, Beckett 10</t>
        </is>
      </c>
      <c r="D123" t="inlineStr">
        <is>
          <t>2026-04-09</t>
        </is>
      </c>
      <c r="E123" s="2" t="n">
        <v>604.9</v>
      </c>
      <c r="F123" t="inlineStr">
        <is>
          <t>Giannis Antetokounmpo 2018-19 Panini Opulence Autograph Card #OA-GAN 03/25</t>
        </is>
      </c>
      <c r="G123" s="2" t="n">
        <v>539.95</v>
      </c>
      <c r="H123" t="n">
        <v>18</v>
      </c>
      <c r="I123" s="3" t="n"/>
      <c r="J123" s="2">
        <f>IF(I123&lt;&gt;"",I123,G123)</f>
        <v/>
      </c>
      <c r="K123" s="2">
        <f>E123-J123</f>
        <v/>
      </c>
      <c r="L123" s="4">
        <f>IF(J123&gt;0,K123/J123,"")</f>
        <v/>
      </c>
    </row>
    <row r="124">
      <c r="A124" t="n">
        <v>123</v>
      </c>
      <c r="B124" t="inlineStr">
        <is>
          <t>Goldin</t>
        </is>
      </c>
      <c r="C124" t="inlineStr">
        <is>
          <t>2020-21 Panini Prizm Rookie Penmanship Signatures #RP-LMB Lamelo Ball Signed Rookie Card - Panini Sealed</t>
        </is>
      </c>
      <c r="D124" t="inlineStr">
        <is>
          <t>2026-04-13</t>
        </is>
      </c>
      <c r="E124" s="2" t="n">
        <v>184</v>
      </c>
      <c r="F124" t="inlineStr">
        <is>
          <t>LaMelo Ball 2020 Panini Prizm #RP-LMB Rookie Penmanship Rookie Auto RC</t>
        </is>
      </c>
      <c r="G124" s="2" t="n">
        <v>117.5</v>
      </c>
      <c r="H124" t="n">
        <v>29</v>
      </c>
      <c r="I124" s="3" t="n"/>
      <c r="J124" s="2">
        <f>IF(I124&lt;&gt;"",I124,G124)</f>
        <v/>
      </c>
      <c r="K124" s="2">
        <f>E124-J124</f>
        <v/>
      </c>
      <c r="L124" s="4">
        <f>IF(J124&gt;0,K124/J124,"")</f>
        <v/>
      </c>
    </row>
    <row r="125">
      <c r="A125" t="n">
        <v>124</v>
      </c>
      <c r="B125" t="inlineStr">
        <is>
          <t>Goldin</t>
        </is>
      </c>
      <c r="C125" t="inlineStr">
        <is>
          <t>2003-04 Bowman Chrome Autograph Refractors #149 Dwyane Wade Signed Rookie Card (#25/50) - BGS MINT 9, Beckett 10</t>
        </is>
      </c>
      <c r="D125" t="inlineStr">
        <is>
          <t>2026-05-22</t>
        </is>
      </c>
      <c r="E125" s="2" t="n">
        <v>1444.4</v>
      </c>
      <c r="F125" t="inlineStr">
        <is>
          <t>DWYANE WADE 2003-04 BOWMAN CHROME #149 ROOKIE RC /50 AUTO REFRACTOR BGS 9/10 💎</t>
        </is>
      </c>
      <c r="G125" s="2" t="n">
        <v>1375</v>
      </c>
      <c r="H125" t="n">
        <v>28</v>
      </c>
      <c r="I125" s="3" t="n"/>
      <c r="J125" s="2">
        <f>IF(I125&lt;&gt;"",I125,G125)</f>
        <v/>
      </c>
      <c r="K125" s="2">
        <f>E125-J125</f>
        <v/>
      </c>
      <c r="L125" s="4">
        <f>IF(J125&gt;0,K125/J125,"")</f>
        <v/>
      </c>
    </row>
    <row r="126">
      <c r="A126" t="n">
        <v>125</v>
      </c>
      <c r="B126" t="inlineStr">
        <is>
          <t>Goldin</t>
        </is>
      </c>
      <c r="C126" t="inlineStr">
        <is>
          <t>2018-19 Panini Prizm Pink Ice #184 Shai Gilgeous-Alexander - PSA GEM MT 10</t>
        </is>
      </c>
      <c r="D126" t="inlineStr">
        <is>
          <t>2026-04-21</t>
        </is>
      </c>
      <c r="E126" s="2" t="n">
        <v>575</v>
      </c>
      <c r="F126" t="inlineStr">
        <is>
          <t>2018-19 Panini Prizm Shai Gilgeous-Alexander Prizm Green RC #184 PSA 10</t>
        </is>
      </c>
      <c r="G126" s="2" t="n">
        <v>500</v>
      </c>
      <c r="H126" t="n">
        <v>28</v>
      </c>
      <c r="I126" s="3" t="n"/>
      <c r="J126" s="2">
        <f>IF(I126&lt;&gt;"",I126,G126)</f>
        <v/>
      </c>
      <c r="K126" s="2">
        <f>E126-J126</f>
        <v/>
      </c>
      <c r="L126" s="4">
        <f>IF(J126&gt;0,K126/J126,"")</f>
        <v/>
      </c>
    </row>
    <row r="127">
      <c r="A127" t="n">
        <v>126</v>
      </c>
      <c r="B127" t="inlineStr">
        <is>
          <t>Goldin</t>
        </is>
      </c>
      <c r="C127" t="inlineStr">
        <is>
          <t>2018-19 Panini Donruss Optic Signature Series Holo #SG-SGA Shai Gilgeous-Alexander Signed Rookie Card - Panini Encased</t>
        </is>
      </c>
      <c r="D127" t="inlineStr">
        <is>
          <t>2026-06-09</t>
        </is>
      </c>
      <c r="E127" s="2" t="n">
        <v>661.25</v>
      </c>
      <c r="F127" t="inlineStr">
        <is>
          <t>2018-19 Panini Donruss /99 Shai Gilgeous-Alexander #TT-SGA Rookie Auto RC</t>
        </is>
      </c>
      <c r="G127" s="2" t="n">
        <v>579.99</v>
      </c>
      <c r="H127" t="n">
        <v>27</v>
      </c>
      <c r="I127" s="3" t="n"/>
      <c r="J127" s="2">
        <f>IF(I127&lt;&gt;"",I127,G127)</f>
        <v/>
      </c>
      <c r="K127" s="2">
        <f>E127-J127</f>
        <v/>
      </c>
      <c r="L127" s="4">
        <f>IF(J127&gt;0,K127/J127,"")</f>
        <v/>
      </c>
    </row>
    <row r="128">
      <c r="A128" t="n">
        <v>127</v>
      </c>
      <c r="B128" t="inlineStr">
        <is>
          <t>Goldin</t>
        </is>
      </c>
      <c r="C128" t="inlineStr">
        <is>
          <t>2024-25 Panini Prizm Draft Picks Penmanship Blue Ice Prizm #P-VJE V.J. Edgecombe Signed Rookie Card (#26/75) - SGC GM 10, SGC 10</t>
        </is>
      </c>
      <c r="D128" t="inlineStr">
        <is>
          <t>2026-04-03</t>
        </is>
      </c>
      <c r="E128" s="2" t="n">
        <v>488.75</v>
      </c>
      <c r="F128" t="inlineStr">
        <is>
          <t>2024 Panini Prizm Draft Picks - Penmanship VJ Edgecombe #P-VJE Hyper Prizm Auto</t>
        </is>
      </c>
      <c r="G128" s="2" t="n">
        <v>406</v>
      </c>
      <c r="H128" t="n">
        <v>27</v>
      </c>
      <c r="I128" s="3" t="n"/>
      <c r="J128" s="2">
        <f>IF(I128&lt;&gt;"",I128,G128)</f>
        <v/>
      </c>
      <c r="K128" s="2">
        <f>E128-J128</f>
        <v/>
      </c>
      <c r="L128" s="4">
        <f>IF(J128&gt;0,K128/J128,"")</f>
        <v/>
      </c>
    </row>
    <row r="129">
      <c r="A129" t="n">
        <v>128</v>
      </c>
      <c r="B129" t="inlineStr">
        <is>
          <t>Goldin</t>
        </is>
      </c>
      <c r="C129" t="inlineStr">
        <is>
          <t>1993-94 Topps Finest #1 Michael Jordan - PSA GEM MT 10</t>
        </is>
      </c>
      <c r="D129" t="inlineStr">
        <is>
          <t>2026-04-11</t>
        </is>
      </c>
      <c r="E129" s="2" t="n">
        <v>1467.4</v>
      </c>
      <c r="F129" t="inlineStr">
        <is>
          <t>MICHAEL JORDAN PSA 10 1993-94 TOPPS FINEST BASEBALL #1 BULLS 447</t>
        </is>
      </c>
      <c r="G129" s="2" t="n">
        <v>1375</v>
      </c>
      <c r="H129" t="n">
        <v>26</v>
      </c>
      <c r="I129" s="3" t="n"/>
      <c r="J129" s="2">
        <f>IF(I129&lt;&gt;"",I129,G129)</f>
        <v/>
      </c>
      <c r="K129" s="2">
        <f>E129-J129</f>
        <v/>
      </c>
      <c r="L129" s="4">
        <f>IF(J129&gt;0,K129/J129,"")</f>
        <v/>
      </c>
    </row>
    <row r="130">
      <c r="A130" t="n">
        <v>129</v>
      </c>
      <c r="B130" t="inlineStr">
        <is>
          <t>Goldin</t>
        </is>
      </c>
      <c r="C130" t="inlineStr">
        <is>
          <t>2001-02 Topps Chrome Refractor #95 Michael Jordan - PSA MINT 9</t>
        </is>
      </c>
      <c r="D130" t="inlineStr">
        <is>
          <t>2026-05-14</t>
        </is>
      </c>
      <c r="E130" s="2" t="n">
        <v>949.9</v>
      </c>
      <c r="F130" t="inlineStr">
        <is>
          <t>2001-02 Topps Chrome Michael Jordan Refractor #95 Wizards PSA 9</t>
        </is>
      </c>
      <c r="G130" s="2" t="n">
        <v>855</v>
      </c>
      <c r="H130" t="n">
        <v>28</v>
      </c>
      <c r="I130" s="3" t="n"/>
      <c r="J130" s="2">
        <f>IF(I130&lt;&gt;"",I130,G130)</f>
        <v/>
      </c>
      <c r="K130" s="2">
        <f>E130-J130</f>
        <v/>
      </c>
      <c r="L130" s="4">
        <f>IF(J130&gt;0,K130/J130,"")</f>
        <v/>
      </c>
    </row>
    <row r="131">
      <c r="A131" t="n">
        <v>130</v>
      </c>
      <c r="B131" t="inlineStr">
        <is>
          <t>Goldin</t>
        </is>
      </c>
      <c r="C131" t="inlineStr">
        <is>
          <t>2020-21 Panini One and One Rookie Jersey Autographs Blue #RJA-LMB LaMelo Ball Signed Patch Rookie Card (#20/49) - Panini Encased</t>
        </is>
      </c>
      <c r="D131" t="inlineStr">
        <is>
          <t>2026-05-11</t>
        </is>
      </c>
      <c r="E131" s="2" t="n">
        <v>219.65</v>
      </c>
      <c r="F131" t="inlineStr">
        <is>
          <t>LaMelo Ball 2020 Panini Prizm #RP-LMB Rookie Penmanship Rookie Auto RC</t>
        </is>
      </c>
      <c r="G131" s="2" t="n">
        <v>117.5</v>
      </c>
      <c r="H131" t="n">
        <v>17</v>
      </c>
      <c r="I131" s="3" t="n"/>
      <c r="J131" s="2">
        <f>IF(I131&lt;&gt;"",I131,G131)</f>
        <v/>
      </c>
      <c r="K131" s="2">
        <f>E131-J131</f>
        <v/>
      </c>
      <c r="L131" s="4">
        <f>IF(J131&gt;0,K131/J131,"")</f>
        <v/>
      </c>
    </row>
    <row r="132">
      <c r="A132" t="n">
        <v>131</v>
      </c>
      <c r="B132" t="inlineStr">
        <is>
          <t>Goldin</t>
        </is>
      </c>
      <c r="C132" t="inlineStr">
        <is>
          <t>2023-24 Panini National Treasures All-NBA Signatures International Red #ALL-CBK Charles Barkley Signed Card (#8/8) - Panini Encased</t>
        </is>
      </c>
      <c r="D132" t="inlineStr">
        <is>
          <t>2026-05-08</t>
        </is>
      </c>
      <c r="E132" s="2" t="n">
        <v>345</v>
      </c>
      <c r="F132" t="inlineStr">
        <is>
          <t>1/10 ≈1/1 2023-24 Panini Flawless Performances Charles Barkley Gold Auto #FP-CBK</t>
        </is>
      </c>
      <c r="G132" s="2" t="n">
        <v>222.5</v>
      </c>
      <c r="H132" t="n">
        <v>18</v>
      </c>
      <c r="I132" s="3" t="n"/>
      <c r="J132" s="2">
        <f>IF(I132&lt;&gt;"",I132,G132)</f>
        <v/>
      </c>
      <c r="K132" s="2">
        <f>E132-J132</f>
        <v/>
      </c>
      <c r="L132" s="4">
        <f>IF(J132&gt;0,K132/J132,"")</f>
        <v/>
      </c>
    </row>
    <row r="133">
      <c r="A133" t="n">
        <v>132</v>
      </c>
      <c r="B133" t="inlineStr">
        <is>
          <t>Goldin</t>
        </is>
      </c>
      <c r="C133" t="inlineStr">
        <is>
          <t>2020-21 Panini Flawless USA Basketball #USA-DUR Kevin Durant Signed Card (#04/10) - Panini Encased</t>
        </is>
      </c>
      <c r="D133" t="inlineStr">
        <is>
          <t>2026-04-03</t>
        </is>
      </c>
      <c r="E133" s="2" t="n">
        <v>885.5</v>
      </c>
      <c r="F133" t="inlineStr">
        <is>
          <t>2020-21 Panini Flawless Kevin Durant Gold USA Auto /10 #USA-DUR</t>
        </is>
      </c>
      <c r="G133" s="2" t="n">
        <v>739</v>
      </c>
      <c r="H133" t="n">
        <v>28</v>
      </c>
      <c r="I133" s="3" t="n"/>
      <c r="J133" s="2">
        <f>IF(I133&lt;&gt;"",I133,G133)</f>
        <v/>
      </c>
      <c r="K133" s="2">
        <f>E133-J133</f>
        <v/>
      </c>
      <c r="L133" s="4">
        <f>IF(J133&gt;0,K133/J133,"")</f>
        <v/>
      </c>
    </row>
    <row r="134">
      <c r="A134" t="n">
        <v>133</v>
      </c>
      <c r="B134" t="inlineStr">
        <is>
          <t>Goldin</t>
        </is>
      </c>
      <c r="C134" t="inlineStr">
        <is>
          <t xml:space="preserve">2020-21 Panini Absolute Tools of the Trade 3 Swatch Signature #TT3-TMA Tyrese Maxey Signed Relic Rookie Card (#184/199) - PSA NM-MT 8 - Pop 2
</t>
        </is>
      </c>
      <c r="D134" t="inlineStr">
        <is>
          <t>2026-04-03</t>
        </is>
      </c>
      <c r="E134" s="2" t="n">
        <v>319.7</v>
      </c>
      <c r="F134" t="inlineStr">
        <is>
          <t>2020 PANINI ABSOLUTE MEMORABILIA 3 SWATCH #TMA TYRESE MAXEY RC /199 PSA 8 AUTO</t>
        </is>
      </c>
      <c r="G134" s="2" t="n">
        <v>169.5</v>
      </c>
      <c r="H134" t="n">
        <v>15</v>
      </c>
      <c r="I134" s="3" t="n"/>
      <c r="J134" s="2">
        <f>IF(I134&lt;&gt;"",I134,G134)</f>
        <v/>
      </c>
      <c r="K134" s="2">
        <f>E134-J134</f>
        <v/>
      </c>
      <c r="L134" s="4">
        <f>IF(J134&gt;0,K134/J134,"")</f>
        <v/>
      </c>
    </row>
    <row r="135">
      <c r="A135" t="n">
        <v>134</v>
      </c>
      <c r="B135" t="inlineStr">
        <is>
          <t>Goldin</t>
        </is>
      </c>
      <c r="C135" t="inlineStr">
        <is>
          <t>2017 Panini Donruss Optic Rated Rookie Red/Yellow #177 Patrick Mahomes II Rookie Card - PSA GEM MT 10</t>
        </is>
      </c>
      <c r="D135" t="inlineStr">
        <is>
          <t>2026-05-30</t>
        </is>
      </c>
      <c r="E135" s="2" t="n">
        <v>2420.75</v>
      </c>
      <c r="F135" t="inlineStr">
        <is>
          <t>PATRICK MAHOMES II PSA 10 2017 DONRUSS OPTIC #177 RED YELLOW RC RATED ROOKIE</t>
        </is>
      </c>
      <c r="G135" s="2" t="n">
        <v>2247</v>
      </c>
      <c r="H135" t="n">
        <v>36</v>
      </c>
      <c r="I135" s="3" t="n"/>
      <c r="J135" s="2">
        <f>IF(I135&lt;&gt;"",I135,G135)</f>
        <v/>
      </c>
      <c r="K135" s="2">
        <f>E135-J135</f>
        <v/>
      </c>
      <c r="L135" s="4">
        <f>IF(J135&gt;0,K135/J135,"")</f>
        <v/>
      </c>
    </row>
    <row r="136">
      <c r="A136" t="n">
        <v>135</v>
      </c>
      <c r="B136" t="inlineStr">
        <is>
          <t>Goldin</t>
        </is>
      </c>
      <c r="C136" t="inlineStr">
        <is>
          <t>1998-99 Upper Deck Ovation #7 Michael Jordan - PSA GEM MT 10</t>
        </is>
      </c>
      <c r="D136" t="inlineStr">
        <is>
          <t>2026-04-10</t>
        </is>
      </c>
      <c r="E136" s="2" t="n">
        <v>576.15</v>
      </c>
      <c r="F136" t="inlineStr">
        <is>
          <t>1998-99 Upper Deck Ovation - Michael Jordan #7 PSA 10</t>
        </is>
      </c>
      <c r="G136" s="2" t="n">
        <v>400</v>
      </c>
      <c r="H136" t="n">
        <v>25</v>
      </c>
      <c r="I136" s="3" t="n"/>
      <c r="J136" s="2">
        <f>IF(I136&lt;&gt;"",I136,G136)</f>
        <v/>
      </c>
      <c r="K136" s="2">
        <f>E136-J136</f>
        <v/>
      </c>
      <c r="L136" s="4">
        <f>IF(J136&gt;0,K136/J136,"")</f>
        <v/>
      </c>
    </row>
    <row r="137">
      <c r="A137" t="n">
        <v>136</v>
      </c>
      <c r="B137" t="inlineStr">
        <is>
          <t>Goldin</t>
        </is>
      </c>
      <c r="C137" t="inlineStr">
        <is>
          <t>2024-25 Panini Eminence Optimum Diamond Autographs Gold #ODA-HOL Chet Holmgren Signed Diamond Relic Card (#2/5) - Panini Encased</t>
        </is>
      </c>
      <c r="D137" t="inlineStr">
        <is>
          <t>2026-04-09</t>
        </is>
      </c>
      <c r="E137" s="2" t="n">
        <v>402.5</v>
      </c>
      <c r="F137" t="inlineStr">
        <is>
          <t>Chet Holmgren 2024-25 Panini Prizm Black Sensational Signatures Gold Redemption</t>
        </is>
      </c>
      <c r="G137" s="2" t="n">
        <v>225</v>
      </c>
      <c r="H137" t="n">
        <v>20</v>
      </c>
      <c r="I137" s="3" t="n"/>
      <c r="J137" s="2">
        <f>IF(I137&lt;&gt;"",I137,G137)</f>
        <v/>
      </c>
      <c r="K137" s="2">
        <f>E137-J137</f>
        <v/>
      </c>
      <c r="L137" s="4">
        <f>IF(J137&gt;0,K137/J137,"")</f>
        <v/>
      </c>
    </row>
    <row r="138">
      <c r="A138" t="n">
        <v>137</v>
      </c>
      <c r="B138" t="inlineStr">
        <is>
          <t>Goldin</t>
        </is>
      </c>
      <c r="C138" t="inlineStr">
        <is>
          <t>2025 Panini Prizm FIFA Club World Cup Kaboom! #20 Vinicius Jr. - BGS GEM MINT 9.5 - Pop 2</t>
        </is>
      </c>
      <c r="D138" t="inlineStr">
        <is>
          <t>2026-06-14</t>
        </is>
      </c>
      <c r="E138" s="2" t="n">
        <v>1035</v>
      </c>
      <c r="F138" t="inlineStr">
        <is>
          <t>2025 Panini FIFA Club World Cup - VINI Jr - KABOOM - Real Madrid</t>
        </is>
      </c>
      <c r="G138" s="2" t="n">
        <v>850</v>
      </c>
      <c r="H138" t="n">
        <v>28</v>
      </c>
      <c r="I138" s="3" t="n"/>
      <c r="J138" s="2">
        <f>IF(I138&lt;&gt;"",I138,G138)</f>
        <v/>
      </c>
      <c r="K138" s="2">
        <f>E138-J138</f>
        <v/>
      </c>
      <c r="L138" s="4">
        <f>IF(J138&gt;0,K138/J138,"")</f>
        <v/>
      </c>
    </row>
    <row r="139">
      <c r="A139" t="n">
        <v>138</v>
      </c>
      <c r="B139" t="inlineStr">
        <is>
          <t>Goldin</t>
        </is>
      </c>
      <c r="C139" t="inlineStr">
        <is>
          <t>2025-26 Topps Chrome X-Fractor #254 Kon Knueppel Rookie Card - PSA GEM MT 10</t>
        </is>
      </c>
      <c r="D139" t="inlineStr">
        <is>
          <t>2026-06-05</t>
        </is>
      </c>
      <c r="E139" s="2" t="n">
        <v>221.95</v>
      </c>
      <c r="F139" t="inlineStr">
        <is>
          <t>2025-26 Topps Chrome Kon Knueppel RC Rookie X-Fractor Refractor Hornets #254</t>
        </is>
      </c>
      <c r="G139" s="2" t="n">
        <v>33</v>
      </c>
      <c r="H139" t="n">
        <v>30</v>
      </c>
      <c r="I139" s="3" t="n"/>
      <c r="J139" s="2">
        <f>IF(I139&lt;&gt;"",I139,G139)</f>
        <v/>
      </c>
      <c r="K139" s="2">
        <f>E139-J139</f>
        <v/>
      </c>
      <c r="L139" s="4">
        <f>IF(J139&gt;0,K139/J139,"")</f>
        <v/>
      </c>
    </row>
    <row r="140">
      <c r="A140" t="n">
        <v>139</v>
      </c>
      <c r="B140" t="inlineStr">
        <is>
          <t>Goldin</t>
        </is>
      </c>
      <c r="C140" t="inlineStr">
        <is>
          <t>2020-21 Panini Mosaic Autographs Mosaic #AM-LUK Luka Doncic Signed Card - PSA MINT 9</t>
        </is>
      </c>
      <c r="D140" t="inlineStr">
        <is>
          <t>2026-04-03</t>
        </is>
      </c>
      <c r="E140" s="2" t="n">
        <v>1092.5</v>
      </c>
      <c r="F140" t="inlineStr">
        <is>
          <t>2020-21 Mosaic Luka Doncic Auto #AM-LUK Mavericks PSA 9</t>
        </is>
      </c>
      <c r="G140" s="2" t="n">
        <v>883</v>
      </c>
      <c r="H140" t="n">
        <v>26</v>
      </c>
      <c r="I140" s="3" t="n"/>
      <c r="J140" s="2">
        <f>IF(I140&lt;&gt;"",I140,G140)</f>
        <v/>
      </c>
      <c r="K140" s="2">
        <f>E140-J140</f>
        <v/>
      </c>
      <c r="L140" s="4">
        <f>IF(J140&gt;0,K140/J140,"")</f>
        <v/>
      </c>
    </row>
    <row r="141">
      <c r="A141" t="n">
        <v>140</v>
      </c>
      <c r="B141" t="inlineStr">
        <is>
          <t>Goldin</t>
        </is>
      </c>
      <c r="C141" t="inlineStr">
        <is>
          <t>2018-19 Panini Spectra Rising Stars Signatures Neon Pink #RS-LDC Luka Doncic Signed Rookie Card (#10/25) - BGS NM-MT+ 8.5, Beckett 10</t>
        </is>
      </c>
      <c r="D141" t="inlineStr">
        <is>
          <t>2026-05-11</t>
        </is>
      </c>
      <c r="E141" s="2" t="n">
        <v>1437.5</v>
      </c>
      <c r="F141" t="inlineStr">
        <is>
          <t>LUKA DONCIC 2018-19 PANINI PRIZM #SS-LDC SENSATIONAL SIGNATURES AUTO ROOKIE RC</t>
        </is>
      </c>
      <c r="G141" s="2" t="n">
        <v>1225</v>
      </c>
      <c r="H141" t="n">
        <v>20</v>
      </c>
      <c r="I141" s="3" t="n"/>
      <c r="J141" s="2">
        <f>IF(I141&lt;&gt;"",I141,G141)</f>
        <v/>
      </c>
      <c r="K141" s="2">
        <f>E141-J141</f>
        <v/>
      </c>
      <c r="L141" s="4">
        <f>IF(J141&gt;0,K141/J141,"")</f>
        <v/>
      </c>
    </row>
    <row r="142">
      <c r="A142" t="n">
        <v>141</v>
      </c>
      <c r="B142" t="inlineStr">
        <is>
          <t>Goldin</t>
        </is>
      </c>
      <c r="C142" t="inlineStr">
        <is>
          <t>2025-26 Topps Chrome Red White and Blue Refractor #254 Kon Knueppel Rookie Card - PSA GEM MT 10</t>
        </is>
      </c>
      <c r="D142" t="inlineStr">
        <is>
          <t>2026-06-05</t>
        </is>
      </c>
      <c r="E142" s="2" t="n">
        <v>241.5</v>
      </c>
      <c r="F142" t="inlineStr">
        <is>
          <t>Rookie 2025-26 Topps Chrome #254 Kon Knueppel Red White and Blue Refractor</t>
        </is>
      </c>
      <c r="G142" s="2" t="n">
        <v>25</v>
      </c>
      <c r="H142" t="n">
        <v>36</v>
      </c>
      <c r="I142" s="3" t="n"/>
      <c r="J142" s="2">
        <f>IF(I142&lt;&gt;"",I142,G142)</f>
        <v/>
      </c>
      <c r="K142" s="2">
        <f>E142-J142</f>
        <v/>
      </c>
      <c r="L142" s="4">
        <f>IF(J142&gt;0,K142/J142,"")</f>
        <v/>
      </c>
    </row>
    <row r="143">
      <c r="A143" t="n">
        <v>142</v>
      </c>
      <c r="B143" t="inlineStr">
        <is>
          <t>Goldin</t>
        </is>
      </c>
      <c r="C143" t="inlineStr">
        <is>
          <t>1995-96 Upper Deck SP Holoviews #PC5 Michael Jordan - PSA MINT 9</t>
        </is>
      </c>
      <c r="D143" t="inlineStr">
        <is>
          <t>2026-05-26</t>
        </is>
      </c>
      <c r="E143" s="2" t="n">
        <v>488.75</v>
      </c>
      <c r="F143" t="inlineStr">
        <is>
          <t>1995 96 SP Holoviews #pc5 Michael Jordan Upper Deck. Chicago Bulls</t>
        </is>
      </c>
      <c r="G143" s="2" t="n">
        <v>269</v>
      </c>
      <c r="H143" t="n">
        <v>20</v>
      </c>
      <c r="I143" s="3" t="n"/>
      <c r="J143" s="2">
        <f>IF(I143&lt;&gt;"",I143,G143)</f>
        <v/>
      </c>
      <c r="K143" s="2">
        <f>E143-J143</f>
        <v/>
      </c>
      <c r="L143" s="4">
        <f>IF(J143&gt;0,K143/J143,"")</f>
        <v/>
      </c>
    </row>
    <row r="144">
      <c r="A144" t="n">
        <v>143</v>
      </c>
      <c r="B144" t="inlineStr">
        <is>
          <t>Goldin</t>
        </is>
      </c>
      <c r="C144" t="inlineStr">
        <is>
          <t>2003-04 eTopps #43 LeBron James Rookie Card - PSA MINT 9</t>
        </is>
      </c>
      <c r="D144" t="inlineStr">
        <is>
          <t>2026-04-09</t>
        </is>
      </c>
      <c r="E144" s="2" t="n">
        <v>351.9</v>
      </c>
      <c r="F144" t="inlineStr">
        <is>
          <t>2019-20 Spectra Interstellar SP /49 #43 Lebron James PSA 9 POP 5 R6220J</t>
        </is>
      </c>
      <c r="G144" s="2" t="n">
        <v>100</v>
      </c>
      <c r="H144" t="n">
        <v>14</v>
      </c>
      <c r="I144" s="3" t="n"/>
      <c r="J144" s="2">
        <f>IF(I144&lt;&gt;"",I144,G144)</f>
        <v/>
      </c>
      <c r="K144" s="2">
        <f>E144-J144</f>
        <v/>
      </c>
      <c r="L144" s="4">
        <f>IF(J144&gt;0,K144/J144,"")</f>
        <v/>
      </c>
    </row>
    <row r="145">
      <c r="A145" t="n">
        <v>144</v>
      </c>
      <c r="B145" t="inlineStr">
        <is>
          <t>Goldin</t>
        </is>
      </c>
      <c r="C145" t="inlineStr">
        <is>
          <t>2024-25 Panini Silhouette NBA Gear Holo Gold #NG-MAX Tyrese Maxey Patch Card (#10/10) - BGS NM-MT 8</t>
        </is>
      </c>
      <c r="D145" t="inlineStr">
        <is>
          <t>2026-04-10</t>
        </is>
      </c>
      <c r="E145" s="2" t="n">
        <v>433.55</v>
      </c>
      <c r="F145" t="inlineStr">
        <is>
          <t>2024-25 Panini Donruss Optic Tyrese Maxey Elite Series Auto Gold /10</t>
        </is>
      </c>
      <c r="G145" s="2" t="n">
        <v>166.5</v>
      </c>
      <c r="H145" t="n">
        <v>18</v>
      </c>
      <c r="I145" s="3" t="n"/>
      <c r="J145" s="2">
        <f>IF(I145&lt;&gt;"",I145,G145)</f>
        <v/>
      </c>
      <c r="K145" s="2">
        <f>E145-J145</f>
        <v/>
      </c>
      <c r="L145" s="4">
        <f>IF(J145&gt;0,K145/J145,"")</f>
        <v/>
      </c>
    </row>
    <row r="146">
      <c r="A146" t="n">
        <v>145</v>
      </c>
      <c r="B146" t="inlineStr">
        <is>
          <t>Goldin</t>
        </is>
      </c>
      <c r="C146" t="inlineStr">
        <is>
          <t>2018-19 Panini Prizm Rookie Signatures #RS-LDC Luka Doncic Signed Rookie Card - BGS GEM MINT 9.5, Beckett 10</t>
        </is>
      </c>
      <c r="D146" t="inlineStr">
        <is>
          <t>2026-05-12</t>
        </is>
      </c>
      <c r="E146" s="2" t="n">
        <v>1495</v>
      </c>
      <c r="F146" t="inlineStr">
        <is>
          <t>LUKA DONCIC 2018-19 PANINI PRIZM #SS-LDC SENSATIONAL SIGNATURES AUTO ROOKIE RC</t>
        </is>
      </c>
      <c r="G146" s="2" t="n">
        <v>1225</v>
      </c>
      <c r="H146" t="n">
        <v>27</v>
      </c>
      <c r="I146" s="3" t="n"/>
      <c r="J146" s="2">
        <f>IF(I146&lt;&gt;"",I146,G146)</f>
        <v/>
      </c>
      <c r="K146" s="2">
        <f>E146-J146</f>
        <v/>
      </c>
      <c r="L146" s="4">
        <f>IF(J146&gt;0,K146/J146,"")</f>
        <v/>
      </c>
    </row>
    <row r="147">
      <c r="A147" t="n">
        <v>146</v>
      </c>
      <c r="B147" t="inlineStr">
        <is>
          <t>Goldin</t>
        </is>
      </c>
      <c r="C147" t="inlineStr">
        <is>
          <t>1997-98 Bowman's Best Atomic Refractors #60 Michael Jordan - BGS NM-MT+ 8.5</t>
        </is>
      </c>
      <c r="D147" t="inlineStr">
        <is>
          <t>2026-05-10</t>
        </is>
      </c>
      <c r="E147" s="2" t="n">
        <v>2542.65</v>
      </c>
      <c r="F147" t="inlineStr">
        <is>
          <t>MICHAEL JORDAN BGS 8.5 1997-98 BOWMAN'S BEST #60 ATOMIC REFRACTOR BULLS RARE SP</t>
        </is>
      </c>
      <c r="G147" s="2" t="n">
        <v>2250</v>
      </c>
      <c r="H147" t="n">
        <v>28</v>
      </c>
      <c r="I147" s="3" t="n"/>
      <c r="J147" s="2">
        <f>IF(I147&lt;&gt;"",I147,G147)</f>
        <v/>
      </c>
      <c r="K147" s="2">
        <f>E147-J147</f>
        <v/>
      </c>
      <c r="L147" s="4">
        <f>IF(J147&gt;0,K147/J147,"")</f>
        <v/>
      </c>
    </row>
    <row r="148">
      <c r="A148" t="n">
        <v>147</v>
      </c>
      <c r="B148" t="inlineStr">
        <is>
          <t>Goldin</t>
        </is>
      </c>
      <c r="C148" t="inlineStr">
        <is>
          <t>2022-23 Panini Immaculate Scorers Club Signatures Green #SCS-KAJ Kareem Abdul-Jabbar Signed Card (#1/5) - PSA Authentic, PSA/DNA GEM MT 10</t>
        </is>
      </c>
      <c r="D148" t="inlineStr">
        <is>
          <t>2026-06-07</t>
        </is>
      </c>
      <c r="E148" s="2" t="n">
        <v>426.65</v>
      </c>
      <c r="F148" t="inlineStr">
        <is>
          <t>2024-25 Panini Mosaic Kareem Abdul-Jabbar Red Scope Veteran Ticket Auto #VT-KAJ</t>
        </is>
      </c>
      <c r="G148" s="2" t="n">
        <v>93</v>
      </c>
      <c r="H148" t="n">
        <v>13</v>
      </c>
      <c r="I148" s="3" t="n"/>
      <c r="J148" s="2">
        <f>IF(I148&lt;&gt;"",I148,G148)</f>
        <v/>
      </c>
      <c r="K148" s="2">
        <f>E148-J148</f>
        <v/>
      </c>
      <c r="L148" s="4">
        <f>IF(J148&gt;0,K148/J148,"")</f>
        <v/>
      </c>
    </row>
    <row r="149">
      <c r="A149" t="n">
        <v>148</v>
      </c>
      <c r="B149" t="inlineStr">
        <is>
          <t>Goldin</t>
        </is>
      </c>
      <c r="C149" t="inlineStr">
        <is>
          <t>2024 Bowman U Now Autographs Orange #170 Hannah Hidalgo Signed Rookie Card (#2/5) - Topps Encased</t>
        </is>
      </c>
      <c r="D149" t="inlineStr">
        <is>
          <t>2026-05-06</t>
        </is>
      </c>
      <c r="E149" s="2" t="n">
        <v>379.5</v>
      </c>
      <c r="F149" t="inlineStr">
        <is>
          <t>2024-25 Panini Revolution - Legends Yao Ming #170 Teal Scope /35</t>
        </is>
      </c>
      <c r="G149" s="2" t="n">
        <v>20</v>
      </c>
      <c r="H149" t="n">
        <v>15</v>
      </c>
      <c r="I149" s="3" t="n"/>
      <c r="J149" s="2">
        <f>IF(I149&lt;&gt;"",I149,G149)</f>
        <v/>
      </c>
      <c r="K149" s="2">
        <f>E149-J149</f>
        <v/>
      </c>
      <c r="L149" s="4">
        <f>IF(J149&gt;0,K149/J149,"")</f>
        <v/>
      </c>
    </row>
    <row r="150">
      <c r="A150" t="n">
        <v>149</v>
      </c>
      <c r="B150" t="inlineStr">
        <is>
          <t>Goldin</t>
        </is>
      </c>
      <c r="C150" t="inlineStr">
        <is>
          <t>2023-24 Topps Cosmic Chrome SuperFractor #70 Dwyane Wade (#1/1) - PSA MINT 9</t>
        </is>
      </c>
      <c r="D150" t="inlineStr">
        <is>
          <t>2026-05-14</t>
        </is>
      </c>
      <c r="E150" s="2" t="n">
        <v>402.5</v>
      </c>
      <c r="F150" t="inlineStr">
        <is>
          <t>JUDE BELLINGHAM 2025-26 TOPPS CHROME UCL GOLD GEOMETRIC REFRACTOR /50 Q3702</t>
        </is>
      </c>
      <c r="G150" s="2" t="n">
        <v>37.03</v>
      </c>
      <c r="H150" t="n">
        <v>16</v>
      </c>
      <c r="I150" s="3" t="n"/>
      <c r="J150" s="2">
        <f>IF(I150&lt;&gt;"",I150,G150)</f>
        <v/>
      </c>
      <c r="K150" s="2">
        <f>E150-J150</f>
        <v/>
      </c>
      <c r="L150" s="4">
        <f>IF(J150&gt;0,K150/J150,"")</f>
        <v/>
      </c>
    </row>
    <row r="151">
      <c r="A151" t="n">
        <v>150</v>
      </c>
      <c r="B151" t="inlineStr">
        <is>
          <t>Goldin</t>
        </is>
      </c>
      <c r="C151" t="inlineStr">
        <is>
          <t>2025-26 Topps Chrome Wave #221 Victor Wembanyama - PSA GEM MT 10</t>
        </is>
      </c>
      <c r="D151" t="inlineStr">
        <is>
          <t>2026-06-05</t>
        </is>
      </c>
      <c r="E151" s="2" t="n">
        <v>394.45</v>
      </c>
      <c r="F151" t="inlineStr">
        <is>
          <t>2025-26 Topps Chrome Victor Wembanyama #221 Raywave Refractor</t>
        </is>
      </c>
      <c r="G151" s="2" t="n">
        <v>14</v>
      </c>
      <c r="H151" t="n">
        <v>28</v>
      </c>
      <c r="I151" s="3" t="n"/>
      <c r="J151" s="2">
        <f>IF(I151&lt;&gt;"",I151,G151)</f>
        <v/>
      </c>
      <c r="K151" s="2">
        <f>E151-J151</f>
        <v/>
      </c>
      <c r="L151" s="4">
        <f>IF(J151&gt;0,K151/J151,"")</f>
        <v/>
      </c>
    </row>
    <row r="152">
      <c r="A152" t="n">
        <v>151</v>
      </c>
      <c r="B152" t="inlineStr">
        <is>
          <t>Goldin</t>
        </is>
      </c>
      <c r="C152" t="inlineStr">
        <is>
          <t>2025 Panini NSCC VIP Gold Prizm #43 Aaron Judge (#02/10) - PSA GEM MT 10 - Pop 3</t>
        </is>
      </c>
      <c r="D152" t="inlineStr">
        <is>
          <t>2026-05-10</t>
        </is>
      </c>
      <c r="E152" s="2" t="n">
        <v>431.25</v>
      </c>
      <c r="F152" t="inlineStr">
        <is>
          <t>2025 Panini National VIP Gold Pack Aaron Judge Red Ice /99 Yankees #43</t>
        </is>
      </c>
      <c r="G152" s="2" t="n">
        <v>40</v>
      </c>
      <c r="H152" t="n">
        <v>23</v>
      </c>
      <c r="I152" s="3" t="n"/>
      <c r="J152" s="2">
        <f>IF(I152&lt;&gt;"",I152,G152)</f>
        <v/>
      </c>
      <c r="K152" s="2">
        <f>E152-J152</f>
        <v/>
      </c>
      <c r="L152" s="4">
        <f>IF(J152&gt;0,K152/J152,"")</f>
        <v/>
      </c>
    </row>
    <row r="153">
      <c r="A153" t="n">
        <v>152</v>
      </c>
      <c r="B153" t="inlineStr">
        <is>
          <t>Goldin</t>
        </is>
      </c>
      <c r="C153" t="inlineStr">
        <is>
          <t>1996-97 Topps NBA Stars #24 Michael Jordan - PSA GEM MT 10</t>
        </is>
      </c>
      <c r="D153" t="inlineStr">
        <is>
          <t>2026-04-10</t>
        </is>
      </c>
      <c r="E153" s="2" t="n">
        <v>434.7</v>
      </c>
      <c r="F153" t="inlineStr">
        <is>
          <t>1996-97 Topps Stars Michael Jordan #24 Bulls PSA 9</t>
        </is>
      </c>
      <c r="G153" s="2" t="n">
        <v>37</v>
      </c>
      <c r="H153" t="n">
        <v>23</v>
      </c>
      <c r="I153" s="3" t="n"/>
      <c r="J153" s="2">
        <f>IF(I153&lt;&gt;"",I153,G153)</f>
        <v/>
      </c>
      <c r="K153" s="2">
        <f>E153-J153</f>
        <v/>
      </c>
      <c r="L153" s="4">
        <f>IF(J153&gt;0,K153/J153,"")</f>
        <v/>
      </c>
    </row>
    <row r="154">
      <c r="A154" t="n">
        <v>153</v>
      </c>
      <c r="B154" t="inlineStr">
        <is>
          <t>Goldin</t>
        </is>
      </c>
      <c r="C154" t="inlineStr">
        <is>
          <t>2007-08 Topps Finest Refractor #24 Kobe Bryant - PSA GEM MT 10</t>
        </is>
      </c>
      <c r="D154" t="inlineStr">
        <is>
          <t>2026-05-13</t>
        </is>
      </c>
      <c r="E154" s="2" t="n">
        <v>1046.5</v>
      </c>
      <c r="F154" t="inlineStr">
        <is>
          <t>2007 Topps Finest Kobe Bryant #24 Refractor PSA 10 GEM MINT L.A. Lakers</t>
        </is>
      </c>
      <c r="G154" s="2" t="n">
        <v>615</v>
      </c>
      <c r="H154" t="n">
        <v>23</v>
      </c>
      <c r="I154" s="3" t="n"/>
      <c r="J154" s="2">
        <f>IF(I154&lt;&gt;"",I154,G154)</f>
        <v/>
      </c>
      <c r="K154" s="2">
        <f>E154-J154</f>
        <v/>
      </c>
      <c r="L154" s="4">
        <f>IF(J154&gt;0,K154/J154,"")</f>
        <v/>
      </c>
    </row>
    <row r="155">
      <c r="A155" t="n">
        <v>154</v>
      </c>
      <c r="B155" t="inlineStr">
        <is>
          <t>Goldin</t>
        </is>
      </c>
      <c r="C155" t="inlineStr">
        <is>
          <t>2023-24 Panini Select Red Cracked Ice #87 Victor Wembanyama Rookie Card - PSA GEM MT 10</t>
        </is>
      </c>
      <c r="D155" t="inlineStr">
        <is>
          <t>2026-05-10</t>
        </is>
      </c>
      <c r="E155" s="2" t="n">
        <v>862.5</v>
      </c>
      <c r="F155" t="inlineStr">
        <is>
          <t>Victor Wembanyama RC 2023-24 Select RED Cracked Ice #87 PSA 10 GEM MINT POP /6!</t>
        </is>
      </c>
      <c r="G155" s="2" t="n">
        <v>425</v>
      </c>
      <c r="H155" t="n">
        <v>30</v>
      </c>
      <c r="I155" s="3" t="n"/>
      <c r="J155" s="2">
        <f>IF(I155&lt;&gt;"",I155,G155)</f>
        <v/>
      </c>
      <c r="K155" s="2">
        <f>E155-J155</f>
        <v/>
      </c>
      <c r="L155" s="4">
        <f>IF(J155&gt;0,K155/J155,"")</f>
        <v/>
      </c>
    </row>
    <row r="156">
      <c r="A156" t="n">
        <v>155</v>
      </c>
      <c r="B156" t="inlineStr">
        <is>
          <t>Goldin</t>
        </is>
      </c>
      <c r="C156" t="inlineStr">
        <is>
          <t xml:space="preserve">2024-25 Panini Flawless Dual Patches Fuchsia #DP-LMB LaMelo Ball Patch Card (#5/5) - Panini Encased
</t>
        </is>
      </c>
      <c r="D156" t="inlineStr">
        <is>
          <t>2026-05-10</t>
        </is>
      </c>
      <c r="E156" s="2" t="n">
        <v>575</v>
      </c>
      <c r="F156" t="inlineStr">
        <is>
          <t>LaMelo Ball 2020 Panini Prizm #RP-LMB Rookie Penmanship Rookie Auto RC</t>
        </is>
      </c>
      <c r="G156" s="2" t="n">
        <v>117.5</v>
      </c>
      <c r="H156" t="n">
        <v>13</v>
      </c>
      <c r="I156" s="3" t="n"/>
      <c r="J156" s="2">
        <f>IF(I156&lt;&gt;"",I156,G156)</f>
        <v/>
      </c>
      <c r="K156" s="2">
        <f>E156-J156</f>
        <v/>
      </c>
      <c r="L156" s="4">
        <f>IF(J156&gt;0,K156/J156,"")</f>
        <v/>
      </c>
    </row>
    <row r="157">
      <c r="A157" t="n">
        <v>156</v>
      </c>
      <c r="B157" t="inlineStr">
        <is>
          <t>Goldin</t>
        </is>
      </c>
      <c r="C157" t="inlineStr">
        <is>
          <t>2024-25 Panini Select Signatures Gold Prizm #SIG-KAJ Kareem Abdul-Jabbar Signed Card (#08/10) - PSA GEM MT 10 - Pop 1</t>
        </is>
      </c>
      <c r="D157" t="inlineStr">
        <is>
          <t>2026-06-15</t>
        </is>
      </c>
      <c r="E157" s="2" t="n">
        <v>557.75</v>
      </c>
      <c r="F157" t="inlineStr">
        <is>
          <t>2024-25 Panini Mosaic Kareem Abdul-Jabbar Red Scope Veteran Ticket Auto #VT-KAJ</t>
        </is>
      </c>
      <c r="G157" s="2" t="n">
        <v>93</v>
      </c>
      <c r="H157" t="n">
        <v>18</v>
      </c>
      <c r="I157" s="3" t="n"/>
      <c r="J157" s="2">
        <f>IF(I157&lt;&gt;"",I157,G157)</f>
        <v/>
      </c>
      <c r="K157" s="2">
        <f>E157-J157</f>
        <v/>
      </c>
      <c r="L157" s="4">
        <f>IF(J157&gt;0,K157/J157,"")</f>
        <v/>
      </c>
    </row>
    <row r="158">
      <c r="A158" t="n">
        <v>157</v>
      </c>
      <c r="B158" t="inlineStr">
        <is>
          <t>Goldin</t>
        </is>
      </c>
      <c r="C158" t="inlineStr">
        <is>
          <t>2023-24 Panini Select Light Blue Disco #87 Victor Wembanyama Rookie Card (#71/99) - PSA GEM MT 10</t>
        </is>
      </c>
      <c r="D158" t="inlineStr">
        <is>
          <t>2026-04-10</t>
        </is>
      </c>
      <c r="E158" s="2" t="n">
        <v>1148.85</v>
      </c>
      <c r="F158" t="inlineStr">
        <is>
          <t>2023-24 Panini Select Victor Wembanyama #87 Disco Prizm Rookie PSA 10 Spurs</t>
        </is>
      </c>
      <c r="G158" s="2" t="n">
        <v>675</v>
      </c>
      <c r="H158" t="n">
        <v>30</v>
      </c>
      <c r="I158" s="3" t="n"/>
      <c r="J158" s="2">
        <f>IF(I158&lt;&gt;"",I158,G158)</f>
        <v/>
      </c>
      <c r="K158" s="2">
        <f>E158-J158</f>
        <v/>
      </c>
      <c r="L158" s="4">
        <f>IF(J158&gt;0,K158/J158,"")</f>
        <v/>
      </c>
    </row>
    <row r="159">
      <c r="A159" t="n">
        <v>158</v>
      </c>
      <c r="B159" t="inlineStr">
        <is>
          <t>Goldin</t>
        </is>
      </c>
      <c r="C159" t="inlineStr">
        <is>
          <t>2025-26 Topps All Kings #AK-3 LeBron James - PSA NM-MT 8</t>
        </is>
      </c>
      <c r="D159" t="inlineStr">
        <is>
          <t>2026-06-03</t>
        </is>
      </c>
      <c r="E159" s="2" t="n">
        <v>2530</v>
      </c>
      <c r="F159" t="inlineStr">
        <is>
          <t>LEBRON JAMES 2025-26 Topps ALL KINGS Case Hit SSP AK-3 Lakers</t>
        </is>
      </c>
      <c r="G159" s="2" t="n">
        <v>1999</v>
      </c>
      <c r="H159" t="n">
        <v>25</v>
      </c>
      <c r="I159" s="3" t="n"/>
      <c r="J159" s="2">
        <f>IF(I159&lt;&gt;"",I159,G159)</f>
        <v/>
      </c>
      <c r="K159" s="2">
        <f>E159-J159</f>
        <v/>
      </c>
      <c r="L159" s="4">
        <f>IF(J159&gt;0,K159/J159,"")</f>
        <v/>
      </c>
    </row>
    <row r="160">
      <c r="A160" t="n">
        <v>159</v>
      </c>
      <c r="B160" t="inlineStr">
        <is>
          <t>Goldin</t>
        </is>
      </c>
      <c r="C160" t="inlineStr">
        <is>
          <t>2024-25 Panini Prizm Black Gold Prizm #262 Allen Iverson (#03/10) - Jersey Number - PSA GEM MT 10 - Pop 2</t>
        </is>
      </c>
      <c r="D160" t="inlineStr">
        <is>
          <t>2026-04-09</t>
        </is>
      </c>
      <c r="E160" s="2" t="n">
        <v>839.5</v>
      </c>
      <c r="F160" t="inlineStr">
        <is>
          <t>2020-21 Prizm Tyrese Haliburton RC Silver Prizms #262 Kings PSA 10</t>
        </is>
      </c>
      <c r="G160" s="2" t="n">
        <v>295</v>
      </c>
      <c r="H160" t="n">
        <v>17</v>
      </c>
      <c r="I160" s="3" t="n"/>
      <c r="J160" s="2">
        <f>IF(I160&lt;&gt;"",I160,G160)</f>
        <v/>
      </c>
      <c r="K160" s="2">
        <f>E160-J160</f>
        <v/>
      </c>
      <c r="L160" s="4">
        <f>IF(J160&gt;0,K160/J160,"")</f>
        <v/>
      </c>
    </row>
    <row r="161">
      <c r="A161" t="n">
        <v>160</v>
      </c>
      <c r="B161" t="inlineStr">
        <is>
          <t>Goldin</t>
        </is>
      </c>
      <c r="C161" t="inlineStr">
        <is>
          <t>2016-17 Panini Gold Standard Mother Lode Autograph #13 Yao Ming Signed Card (#25/25) - PSA Authentic, PSA/DNA GEM MT 10</t>
        </is>
      </c>
      <c r="D161" t="inlineStr">
        <is>
          <t>2026-04-09</t>
        </is>
      </c>
      <c r="E161" s="2" t="n">
        <v>776.25</v>
      </c>
      <c r="F161" t="inlineStr">
        <is>
          <t>25/25 ≈1/1 ! 2016-17 Gold Standard Yao Ming #13 Mother Lode PSA 10 Auto POP 1</t>
        </is>
      </c>
      <c r="G161" s="2" t="n">
        <v>201.5</v>
      </c>
      <c r="H161" t="n">
        <v>27</v>
      </c>
      <c r="I161" s="3" t="n"/>
      <c r="J161" s="2">
        <f>IF(I161&lt;&gt;"",I161,G161)</f>
        <v/>
      </c>
      <c r="K161" s="2">
        <f>E161-J161</f>
        <v/>
      </c>
      <c r="L161" s="4">
        <f>IF(J161&gt;0,K161/J161,"")</f>
        <v/>
      </c>
    </row>
    <row r="162">
      <c r="A162" t="n">
        <v>161</v>
      </c>
      <c r="B162" t="inlineStr">
        <is>
          <t>Goldin</t>
        </is>
      </c>
      <c r="C162" t="inlineStr">
        <is>
          <t xml:space="preserve">2023-24 Panini Immaculate Collection Gold #57 Victor Wembanyama Rookie Card (#07/10) - PSA MINT 9
</t>
        </is>
      </c>
      <c r="D162" t="inlineStr">
        <is>
          <t>2026-04-08</t>
        </is>
      </c>
      <c r="E162" s="2" t="n">
        <v>2071.15</v>
      </c>
      <c r="F162" t="inlineStr">
        <is>
          <t>2023-24 Immaculate Collection #57 - Victor Wembanyama - Gold /10 (RC) PSA 9</t>
        </is>
      </c>
      <c r="G162" s="2" t="n">
        <v>1475</v>
      </c>
      <c r="H162" t="n">
        <v>28</v>
      </c>
      <c r="I162" s="3" t="n"/>
      <c r="J162" s="2">
        <f>IF(I162&lt;&gt;"",I162,G162)</f>
        <v/>
      </c>
      <c r="K162" s="2">
        <f>E162-J162</f>
        <v/>
      </c>
      <c r="L162" s="4">
        <f>IF(J162&gt;0,K162/J162,"")</f>
        <v/>
      </c>
    </row>
    <row r="163">
      <c r="A163" t="n">
        <v>162</v>
      </c>
      <c r="B163" t="inlineStr">
        <is>
          <t>Goldin</t>
        </is>
      </c>
      <c r="C163" t="inlineStr">
        <is>
          <t>2004-05 Panini Sport Megacracks Barca Campeon Autografo #89 Lionel Messi Rookie Card - PSA MINT 9</t>
        </is>
      </c>
      <c r="D163" t="inlineStr">
        <is>
          <t>2026-06-14</t>
        </is>
      </c>
      <c r="E163" s="2" t="n">
        <v>3565</v>
      </c>
      <c r="F163" t="inlineStr">
        <is>
          <t>🌟 LIONEL MESSI - 2004 Panini Sports Mega Crack Barca Campeon SP RC #89 - PSA 9</t>
        </is>
      </c>
      <c r="G163" s="2" t="n">
        <v>2950</v>
      </c>
      <c r="H163" t="n">
        <v>22</v>
      </c>
      <c r="I163" s="3" t="n"/>
      <c r="J163" s="2">
        <f>IF(I163&lt;&gt;"",I163,G163)</f>
        <v/>
      </c>
      <c r="K163" s="2">
        <f>E163-J163</f>
        <v/>
      </c>
      <c r="L163" s="4">
        <f>IF(J163&gt;0,K163/J163,"")</f>
        <v/>
      </c>
    </row>
    <row r="164">
      <c r="A164" t="n">
        <v>163</v>
      </c>
      <c r="B164" t="inlineStr">
        <is>
          <t>Goldin</t>
        </is>
      </c>
      <c r="C164" t="inlineStr">
        <is>
          <t>2022-23 Panini Flawless Draft Gem Signatures Sapphire #DGS-NKJ Nikola Jokic Signed Card (#7/8) - Panini Encased</t>
        </is>
      </c>
      <c r="D164" t="inlineStr">
        <is>
          <t>2026-04-13</t>
        </is>
      </c>
      <c r="E164" s="2" t="n">
        <v>1266.15</v>
      </c>
      <c r="F164" t="inlineStr">
        <is>
          <t>2022-23 Panini Flawless Nikola Jokic All-NBA Ink Auto Blue /8 #ALL-NKJ Nuggets</t>
        </is>
      </c>
      <c r="G164" s="2" t="n">
        <v>640</v>
      </c>
      <c r="H164" t="n">
        <v>23</v>
      </c>
      <c r="I164" s="3" t="n"/>
      <c r="J164" s="2">
        <f>IF(I164&lt;&gt;"",I164,G164)</f>
        <v/>
      </c>
      <c r="K164" s="2">
        <f>E164-J164</f>
        <v/>
      </c>
      <c r="L164" s="4">
        <f>IF(J164&gt;0,K164/J164,"")</f>
        <v/>
      </c>
    </row>
    <row r="165">
      <c r="A165" t="n">
        <v>164</v>
      </c>
      <c r="B165" t="inlineStr">
        <is>
          <t>Goldin</t>
        </is>
      </c>
      <c r="C165" t="inlineStr">
        <is>
          <t>2025 Topps Five Star Golden Graphs #GG-RS Roki Sasaki Signed Rookie Card (#01/30) - Topps Encased</t>
        </is>
      </c>
      <c r="D165" t="inlineStr">
        <is>
          <t>2026-04-06</t>
        </is>
      </c>
      <c r="E165" s="2" t="n">
        <v>1380</v>
      </c>
      <c r="F165" t="inlineStr">
        <is>
          <t>2025 Topps Five Star Roki Sasaki Rookie Golden Graphs Auto 1/30 Dodgers #GG-RS</t>
        </is>
      </c>
      <c r="G165" s="2" t="n">
        <v>750</v>
      </c>
      <c r="H165" t="n">
        <v>33</v>
      </c>
      <c r="I165" s="3" t="n"/>
      <c r="J165" s="2">
        <f>IF(I165&lt;&gt;"",I165,G165)</f>
        <v/>
      </c>
      <c r="K165" s="2">
        <f>E165-J165</f>
        <v/>
      </c>
      <c r="L165" s="4">
        <f>IF(J165&gt;0,K165/J165,"")</f>
        <v/>
      </c>
    </row>
    <row r="166">
      <c r="A166" t="n">
        <v>165</v>
      </c>
      <c r="B166" t="inlineStr">
        <is>
          <t>Goldin</t>
        </is>
      </c>
      <c r="C166" t="inlineStr">
        <is>
          <t>2021-22 Panini Spectra Universal Die-Cut #30 Stephen Curry (#3/8) - PSA GEM MT 10</t>
        </is>
      </c>
      <c r="D166" t="inlineStr">
        <is>
          <t>2026-03-24</t>
        </is>
      </c>
      <c r="E166" s="2" t="n">
        <v>691.15</v>
      </c>
      <c r="F166" t="inlineStr">
        <is>
          <t>2021-22 Panini Prizm Rookie Variation Fast Break #301 Josh Giddey SP RC THUNDER</t>
        </is>
      </c>
      <c r="G166" s="2" t="n">
        <v>5.5</v>
      </c>
      <c r="H166" t="n">
        <v>17</v>
      </c>
      <c r="I166" s="3" t="n"/>
      <c r="J166" s="2">
        <f>IF(I166&lt;&gt;"",I166,G166)</f>
        <v/>
      </c>
      <c r="K166" s="2">
        <f>E166-J166</f>
        <v/>
      </c>
      <c r="L166" s="4">
        <f>IF(J166&gt;0,K166/J166,"")</f>
        <v/>
      </c>
    </row>
    <row r="167">
      <c r="A167" t="n">
        <v>166</v>
      </c>
      <c r="B167" t="inlineStr">
        <is>
          <t>Goldin</t>
        </is>
      </c>
      <c r="C167" t="inlineStr">
        <is>
          <t>1986 Star Michael Jordan #7 Michael Jordan - BGS NM-MT+ 8.5</t>
        </is>
      </c>
      <c r="D167" t="inlineStr">
        <is>
          <t>2026-05-12</t>
        </is>
      </c>
      <c r="E167" s="2" t="n">
        <v>2314.95</v>
      </c>
      <c r="F167" t="inlineStr">
        <is>
          <t>Michael Jordan 1986 Star #7 Career Highlights RC Hall of Fame HOF GOAT BGS 8.5</t>
        </is>
      </c>
      <c r="G167" s="2" t="n">
        <v>1511.26</v>
      </c>
      <c r="H167" t="n">
        <v>25</v>
      </c>
      <c r="I167" s="3" t="n"/>
      <c r="J167" s="2">
        <f>IF(I167&lt;&gt;"",I167,G167)</f>
        <v/>
      </c>
      <c r="K167" s="2">
        <f>E167-J167</f>
        <v/>
      </c>
      <c r="L167" s="4">
        <f>IF(J167&gt;0,K167/J167,"")</f>
        <v/>
      </c>
    </row>
    <row r="168">
      <c r="A168" t="n">
        <v>167</v>
      </c>
      <c r="B168" t="inlineStr">
        <is>
          <t>Goldin</t>
        </is>
      </c>
      <c r="C168" t="inlineStr">
        <is>
          <t>1997-98 Fleer Ultra Gold Medallion #1G Kobe Bryant - PSA MINT 9</t>
        </is>
      </c>
      <c r="D168" t="inlineStr">
        <is>
          <t>2026-06-08</t>
        </is>
      </c>
      <c r="E168" s="2" t="n">
        <v>1619.2</v>
      </c>
      <c r="F168" t="inlineStr">
        <is>
          <t>1997 FLEER ULTRA GOLD MEDALLION #1G KOBE BRYANT PSA 9</t>
        </is>
      </c>
      <c r="G168" s="2" t="n">
        <v>681.84</v>
      </c>
      <c r="H168" t="n">
        <v>25</v>
      </c>
      <c r="I168" s="3" t="n"/>
      <c r="J168" s="2">
        <f>IF(I168&lt;&gt;"",I168,G168)</f>
        <v/>
      </c>
      <c r="K168" s="2">
        <f>E168-J168</f>
        <v/>
      </c>
      <c r="L168" s="4">
        <f>IF(J168&gt;0,K168/J168,"")</f>
        <v/>
      </c>
    </row>
    <row r="169">
      <c r="A169" t="n">
        <v>168</v>
      </c>
      <c r="B169" t="inlineStr">
        <is>
          <t>Goldin</t>
        </is>
      </c>
      <c r="C169" t="inlineStr">
        <is>
          <t>2025 Topps All Kings #AK-15 Ken Griffey Jr. - PSA MINT 9</t>
        </is>
      </c>
      <c r="D169" t="inlineStr">
        <is>
          <t>2026-06-19</t>
        </is>
      </c>
      <c r="E169" s="2" t="n">
        <v>1872.2</v>
      </c>
      <c r="F169" t="inlineStr">
        <is>
          <t>2025 Topps Series 2 Ken Griffey Jr. All-Kings AK-15 SSP Case Hit Mariners</t>
        </is>
      </c>
      <c r="G169" s="2" t="n">
        <v>850</v>
      </c>
      <c r="H169" t="n">
        <v>25</v>
      </c>
      <c r="I169" s="3" t="n"/>
      <c r="J169" s="2">
        <f>IF(I169&lt;&gt;"",I169,G169)</f>
        <v/>
      </c>
      <c r="K169" s="2">
        <f>E169-J169</f>
        <v/>
      </c>
      <c r="L169" s="4">
        <f>IF(J169&gt;0,K169/J169,"")</f>
        <v/>
      </c>
    </row>
    <row r="170">
      <c r="A170" t="n">
        <v>169</v>
      </c>
      <c r="B170" t="inlineStr">
        <is>
          <t>Goldin</t>
        </is>
      </c>
      <c r="C170" t="inlineStr">
        <is>
          <t>2002-03 Topps Chrome Black Refractor #146 Yao Ming Rookie Card (#20/99) - PSA MINT 9</t>
        </is>
      </c>
      <c r="D170" t="inlineStr">
        <is>
          <t>2026-05-14</t>
        </is>
      </c>
      <c r="E170" s="2" t="n">
        <v>3163.65</v>
      </c>
      <c r="F170" t="inlineStr">
        <is>
          <t>2002-03 Topps Chrome Yao Ming Refractor Rookie RC #146 Rockets PSA 10</t>
        </is>
      </c>
      <c r="G170" s="2" t="n">
        <v>1900</v>
      </c>
      <c r="H170" t="n">
        <v>30</v>
      </c>
      <c r="I170" s="3" t="n"/>
      <c r="J170" s="2">
        <f>IF(I170&lt;&gt;"",I170,G170)</f>
        <v/>
      </c>
      <c r="K170" s="2">
        <f>E170-J170</f>
        <v/>
      </c>
      <c r="L170" s="4">
        <f>IF(J170&gt;0,K170/J170,"")</f>
        <v/>
      </c>
    </row>
    <row r="171">
      <c r="A171" t="n">
        <v>170</v>
      </c>
      <c r="B171" t="inlineStr">
        <is>
          <t>Goldin</t>
        </is>
      </c>
      <c r="C171" t="inlineStr">
        <is>
          <t xml:space="preserve">2024-25 Panini Eminence Thrilliant Signatures Emerald #TS-SGA Shai Gilgeous-Alexander Signed Card (#1/3) - Panini Encased
</t>
        </is>
      </c>
      <c r="D171" t="inlineStr">
        <is>
          <t>2026-05-11</t>
        </is>
      </c>
      <c r="E171" s="2" t="n">
        <v>1581.25</v>
      </c>
      <c r="F171" t="inlineStr">
        <is>
          <t>2024-25 Panini Immaculate Shai Gilgeous-Alexander Game Worn Patch /25 MAT-SGA</t>
        </is>
      </c>
      <c r="G171" s="2" t="n">
        <v>153.5</v>
      </c>
      <c r="H171" t="n">
        <v>20</v>
      </c>
      <c r="I171" s="3" t="n"/>
      <c r="J171" s="2">
        <f>IF(I171&lt;&gt;"",I171,G171)</f>
        <v/>
      </c>
      <c r="K171" s="2">
        <f>E171-J171</f>
        <v/>
      </c>
      <c r="L171" s="4">
        <f>IF(J171&gt;0,K171/J171,"")</f>
        <v/>
      </c>
    </row>
    <row r="172">
      <c r="A172" t="n">
        <v>171</v>
      </c>
      <c r="B172" t="inlineStr">
        <is>
          <t>Goldin</t>
        </is>
      </c>
      <c r="C172" t="inlineStr">
        <is>
          <t>2002-03 Topps Finest Refractor #100 Michael Jordan (#143/250) - PSA NM-MT 8</t>
        </is>
      </c>
      <c r="D172" t="inlineStr">
        <is>
          <t>2026-04-10</t>
        </is>
      </c>
      <c r="E172" s="2" t="n">
        <v>1523.75</v>
      </c>
      <c r="F172" t="inlineStr">
        <is>
          <t>2025-26 Topps Finest Stephen Curry Common Purple Geometric Refractor #/100</t>
        </is>
      </c>
      <c r="G172" s="2" t="n">
        <v>65</v>
      </c>
      <c r="H172" t="n">
        <v>19</v>
      </c>
      <c r="I172" s="3" t="n"/>
      <c r="J172" s="2">
        <f>IF(I172&lt;&gt;"",I172,G172)</f>
        <v/>
      </c>
      <c r="K172" s="2">
        <f>E172-J172</f>
        <v/>
      </c>
      <c r="L172" s="4">
        <f>IF(J172&gt;0,K172/J172,"")</f>
        <v/>
      </c>
    </row>
    <row r="173">
      <c r="A173" t="n">
        <v>172</v>
      </c>
      <c r="B173" t="inlineStr">
        <is>
          <t>Goldin</t>
        </is>
      </c>
      <c r="C173" t="inlineStr">
        <is>
          <t>2024 Topps 50/50 Chrome Rose Gold Refractor #15 Shohei Ohtani (#04/17) - PSA MINT 9</t>
        </is>
      </c>
      <c r="D173" t="inlineStr">
        <is>
          <t>2026-05-09</t>
        </is>
      </c>
      <c r="E173" s="2" t="n">
        <v>1552.5</v>
      </c>
      <c r="F173" t="inlineStr">
        <is>
          <t>2024-25 Topps Chrome Ajay Mitchell SkyWrite Auto BLUE REFRACTOR /150 OKC</t>
        </is>
      </c>
      <c r="G173" s="2" t="n">
        <v>25</v>
      </c>
      <c r="H173" t="n">
        <v>21</v>
      </c>
      <c r="I173" s="3" t="n"/>
      <c r="J173" s="2">
        <f>IF(I173&lt;&gt;"",I173,G173)</f>
        <v/>
      </c>
      <c r="K173" s="2">
        <f>E173-J173</f>
        <v/>
      </c>
      <c r="L173" s="4">
        <f>IF(J173&gt;0,K173/J173,"")</f>
        <v/>
      </c>
    </row>
    <row r="174">
      <c r="A174" t="n">
        <v>173</v>
      </c>
      <c r="B174" t="inlineStr">
        <is>
          <t>Goldin</t>
        </is>
      </c>
      <c r="C174" t="inlineStr">
        <is>
          <t>2023-24 Topps Chrome Autographs #CG-VW Victor Wembanyama Signed Rookie Card - PSA NM-MT 8</t>
        </is>
      </c>
      <c r="D174" t="inlineStr">
        <is>
          <t>2026-05-30</t>
        </is>
      </c>
      <c r="E174" s="2" t="n">
        <v>3162.5</v>
      </c>
      <c r="F174" t="inlineStr">
        <is>
          <t>2023-24 Topps Chrome Victor Wembanyama #CG-VW Rookie RC Spurs PSA 10 Auto POP 2</t>
        </is>
      </c>
      <c r="G174" s="2" t="n">
        <v>1605</v>
      </c>
      <c r="H174" t="n">
        <v>28</v>
      </c>
      <c r="I174" s="3" t="n"/>
      <c r="J174" s="2">
        <f>IF(I174&lt;&gt;"",I174,G174)</f>
        <v/>
      </c>
      <c r="K174" s="2">
        <f>E174-J174</f>
        <v/>
      </c>
      <c r="L174" s="4">
        <f>IF(J174&gt;0,K174/J174,"")</f>
        <v/>
      </c>
    </row>
    <row r="175">
      <c r="A175" t="n">
        <v>174</v>
      </c>
      <c r="B175" t="inlineStr">
        <is>
          <t>Goldin</t>
        </is>
      </c>
      <c r="C175" t="inlineStr">
        <is>
          <t xml:space="preserve">2024-25 Panini National Treasures Viewpoint Signatures Emerald #VP-SGA Shai Gilgeous-Alexander Signed Card (#2/5) - Jersey Number - Panini Encased
</t>
        </is>
      </c>
      <c r="D175" t="inlineStr">
        <is>
          <t>2026-04-03</t>
        </is>
      </c>
      <c r="E175" s="2" t="n">
        <v>1840</v>
      </c>
      <c r="F175" t="inlineStr">
        <is>
          <t>2024-25 Panini Immaculate Shai Gilgeous-Alexander Game Worn Patch /25 MAT-SGA</t>
        </is>
      </c>
      <c r="G175" s="2" t="n">
        <v>153.5</v>
      </c>
      <c r="H175" t="n">
        <v>20</v>
      </c>
      <c r="I175" s="3" t="n"/>
      <c r="J175" s="2">
        <f>IF(I175&lt;&gt;"",I175,G175)</f>
        <v/>
      </c>
      <c r="K175" s="2">
        <f>E175-J175</f>
        <v/>
      </c>
      <c r="L175" s="4">
        <f>IF(J175&gt;0,K175/J175,"")</f>
        <v/>
      </c>
    </row>
    <row r="176">
      <c r="A176" t="n">
        <v>175</v>
      </c>
      <c r="B176" t="inlineStr">
        <is>
          <t>Goldin</t>
        </is>
      </c>
      <c r="C176" t="inlineStr">
        <is>
          <t xml:space="preserve">2025 Bowman U Chrome Black Refractor #109 Fernando Mendoza Rookie Card (#04/10) - PSA GEM MT 10 - Pop 2
</t>
        </is>
      </c>
      <c r="D176" t="inlineStr">
        <is>
          <t>2026-05-18</t>
        </is>
      </c>
      <c r="E176" s="2" t="n">
        <v>2357.5</v>
      </c>
      <c r="F176" t="inlineStr">
        <is>
          <t>2025 Bowman Chrome U Black Refractor #109 Fernando Mendoza # 4/10 Indiana</t>
        </is>
      </c>
      <c r="G176" s="2" t="n">
        <v>658</v>
      </c>
      <c r="H176" t="n">
        <v>30</v>
      </c>
      <c r="I176" s="3" t="n"/>
      <c r="J176" s="2">
        <f>IF(I176&lt;&gt;"",I176,G176)</f>
        <v/>
      </c>
      <c r="K176" s="2">
        <f>E176-J176</f>
        <v/>
      </c>
      <c r="L176" s="4">
        <f>IF(J176&gt;0,K176/J176,"")</f>
        <v/>
      </c>
    </row>
    <row r="177">
      <c r="A177" t="n">
        <v>176</v>
      </c>
      <c r="B177" t="inlineStr">
        <is>
          <t>Goldin</t>
        </is>
      </c>
      <c r="C177" t="inlineStr">
        <is>
          <t>2023-24 Topps Chrome Autographs #CG-VW Victor Wembanyama Signed Rookie Card - PSA NM-MT 8</t>
        </is>
      </c>
      <c r="D177" t="inlineStr">
        <is>
          <t>2026-06-06</t>
        </is>
      </c>
      <c r="E177" s="2" t="n">
        <v>3405.15</v>
      </c>
      <c r="F177" t="inlineStr">
        <is>
          <t>2023-24 Topps Chrome Victor Wembanyama #CG-VW Rookie RC Spurs PSA 10 Auto POP 2</t>
        </is>
      </c>
      <c r="G177" s="2" t="n">
        <v>1605</v>
      </c>
      <c r="H177" t="n">
        <v>28</v>
      </c>
      <c r="I177" s="3" t="n"/>
      <c r="J177" s="2">
        <f>IF(I177&lt;&gt;"",I177,G177)</f>
        <v/>
      </c>
      <c r="K177" s="2">
        <f>E177-J177</f>
        <v/>
      </c>
      <c r="L177" s="4">
        <f>IF(J177&gt;0,K177/J177,"")</f>
        <v/>
      </c>
    </row>
    <row r="178">
      <c r="A178" t="n">
        <v>177</v>
      </c>
      <c r="B178" t="inlineStr">
        <is>
          <t>Goldin</t>
        </is>
      </c>
      <c r="C178" t="inlineStr">
        <is>
          <t>2023-24 Panini Prizm Kaleidoscopic Gold Prizm #21 Stephen Curry (#04/10) - PSA GEM MT 10 - Pop 4</t>
        </is>
      </c>
      <c r="D178" t="inlineStr">
        <is>
          <t>2026-04-09</t>
        </is>
      </c>
      <c r="E178" s="2" t="n">
        <v>1955</v>
      </c>
      <c r="F178" t="inlineStr">
        <is>
          <t>2023-24 Panini Select Victor Wembanyama Blue Prizm Holo Rookie #121 RC PSA 10 💙</t>
        </is>
      </c>
      <c r="G178" s="2" t="n">
        <v>129</v>
      </c>
      <c r="H178" t="n">
        <v>24</v>
      </c>
      <c r="I178" s="3" t="n"/>
      <c r="J178" s="2">
        <f>IF(I178&lt;&gt;"",I178,G178)</f>
        <v/>
      </c>
      <c r="K178" s="2">
        <f>E178-J178</f>
        <v/>
      </c>
      <c r="L178" s="4">
        <f>IF(J178&gt;0,K178/J178,"")</f>
        <v/>
      </c>
    </row>
    <row r="179">
      <c r="A179" t="n">
        <v>178</v>
      </c>
      <c r="B179" t="inlineStr">
        <is>
          <t>Goldin</t>
        </is>
      </c>
      <c r="C179" t="inlineStr">
        <is>
          <t>2020-21 Donruss Optic Autograph Choice #151 Anthony Edwards Signed Rookie Card - PSA GEM MT 10</t>
        </is>
      </c>
      <c r="D179" t="inlineStr">
        <is>
          <t>2026-04-05</t>
        </is>
      </c>
      <c r="E179" s="2" t="n">
        <v>2271.25</v>
      </c>
      <c r="F179" t="inlineStr">
        <is>
          <t>2020-21 Donruss Optic- Rated Rookie Red Pulsar Prizm #151 Anthony Edwards PSA 10</t>
        </is>
      </c>
      <c r="G179" s="2" t="n">
        <v>360</v>
      </c>
      <c r="H179" t="n">
        <v>28</v>
      </c>
      <c r="I179" s="3" t="n"/>
      <c r="J179" s="2">
        <f>IF(I179&lt;&gt;"",I179,G179)</f>
        <v/>
      </c>
      <c r="K179" s="2">
        <f>E179-J179</f>
        <v/>
      </c>
      <c r="L179" s="4">
        <f>IF(J179&gt;0,K179/J179,"")</f>
        <v/>
      </c>
    </row>
    <row r="180">
      <c r="A180" t="n">
        <v>179</v>
      </c>
      <c r="B180" t="inlineStr">
        <is>
          <t>Goldin</t>
        </is>
      </c>
      <c r="C180" t="inlineStr">
        <is>
          <t>2024-25 Panini Eminence Gilded Graphs Emerald #GG-SGA Shai Gilgeous-Alexander Signed Card (#1/3) - Panini Encased</t>
        </is>
      </c>
      <c r="D180" t="inlineStr">
        <is>
          <t>2026-04-17</t>
        </is>
      </c>
      <c r="E180" s="2" t="n">
        <v>2185</v>
      </c>
      <c r="F180" t="inlineStr">
        <is>
          <t>2024-25 Panini Immaculate Shai Gilgeous-Alexander Game Worn Patch /25 MAT-SGA</t>
        </is>
      </c>
      <c r="G180" s="2" t="n">
        <v>153.5</v>
      </c>
      <c r="H180" t="n">
        <v>20</v>
      </c>
      <c r="I180" s="3" t="n"/>
      <c r="J180" s="2">
        <f>IF(I180&lt;&gt;"",I180,G180)</f>
        <v/>
      </c>
      <c r="K180" s="2">
        <f>E180-J180</f>
        <v/>
      </c>
      <c r="L180" s="4">
        <f>IF(J180&gt;0,K180/J180,"")</f>
        <v/>
      </c>
    </row>
    <row r="181">
      <c r="A181" t="n">
        <v>180</v>
      </c>
      <c r="B181" t="inlineStr">
        <is>
          <t>Goldin</t>
        </is>
      </c>
      <c r="C181" t="inlineStr">
        <is>
          <t>2024 Topps 50/50 Chrome Red Refractor #39 Shohei Ohtani (#1/5) - PSA MINT 9</t>
        </is>
      </c>
      <c r="D181" t="inlineStr">
        <is>
          <t>2026-05-28</t>
        </is>
      </c>
      <c r="E181" s="2" t="n">
        <v>2242.5</v>
      </c>
      <c r="F181" t="inlineStr">
        <is>
          <t>2024 Bowman Jackson Chourio Chrome Prospects Orange Refractor #7/25 Brewers B394</t>
        </is>
      </c>
      <c r="G181" s="2" t="n">
        <v>81</v>
      </c>
      <c r="H181" t="n">
        <v>19</v>
      </c>
      <c r="I181" s="3" t="n"/>
      <c r="J181" s="2">
        <f>IF(I181&lt;&gt;"",I181,G181)</f>
        <v/>
      </c>
      <c r="K181" s="2">
        <f>E181-J181</f>
        <v/>
      </c>
      <c r="L181" s="4">
        <f>IF(J181&gt;0,K181/J181,"")</f>
        <v/>
      </c>
    </row>
    <row r="182">
      <c r="A182" t="n">
        <v>181</v>
      </c>
      <c r="B182" t="inlineStr">
        <is>
          <t>Goldin</t>
        </is>
      </c>
      <c r="C182" t="inlineStr">
        <is>
          <t>2023-24 Panini Immaculate Collection Patch Autographs Gold #IPA-SGA Shai Gilgeous-Alexander Signed Patch Card (#02/10) - Jersey Number - PSA Authentic, PSA/DNA GEM MT 10</t>
        </is>
      </c>
      <c r="D182" t="inlineStr">
        <is>
          <t>2026-04-08</t>
        </is>
      </c>
      <c r="E182" s="2" t="n">
        <v>2887.65</v>
      </c>
      <c r="F182" t="inlineStr">
        <is>
          <t>2024-25 Panini Immaculate Shai Gilgeous-Alexander Game Worn Patch /25 MAT-SGA</t>
        </is>
      </c>
      <c r="G182" s="2" t="n">
        <v>153.5</v>
      </c>
      <c r="H182" t="n">
        <v>22</v>
      </c>
      <c r="I182" s="3" t="n"/>
      <c r="J182" s="2">
        <f>IF(I182&lt;&gt;"",I182,G182)</f>
        <v/>
      </c>
      <c r="K182" s="2">
        <f>E182-J182</f>
        <v/>
      </c>
      <c r="L182" s="4">
        <f>IF(J182&gt;0,K182/J182,"")</f>
        <v/>
      </c>
    </row>
    <row r="183">
      <c r="A183" t="n">
        <v>182</v>
      </c>
      <c r="B183" t="inlineStr">
        <is>
          <t>Goldin</t>
        </is>
      </c>
      <c r="C183" t="inlineStr">
        <is>
          <t>2018-19 Panini National Treasures Lasting Legacies Super Prime #LL-SON Shaquille O'Neal Signed Patch Card (#1/1) - Panini Encased</t>
        </is>
      </c>
      <c r="D183" t="inlineStr">
        <is>
          <t>2026-04-09</t>
        </is>
      </c>
      <c r="E183" s="2" t="n">
        <v>5520</v>
      </c>
      <c r="F183" t="inlineStr">
        <is>
          <t>2018-19 Panini National Treasures Jalen Brunson Rookie Patch Auto RC RPA /49</t>
        </is>
      </c>
      <c r="G183" s="2" t="n">
        <v>1950</v>
      </c>
      <c r="H183" t="n">
        <v>23</v>
      </c>
      <c r="I183" s="3" t="n"/>
      <c r="J183" s="2">
        <f>IF(I183&lt;&gt;"",I183,G183)</f>
        <v/>
      </c>
      <c r="K183" s="2">
        <f>E183-J183</f>
        <v/>
      </c>
      <c r="L183" s="4">
        <f>IF(J183&gt;0,K183/J183,"")</f>
        <v/>
      </c>
    </row>
    <row r="184">
      <c r="A184" t="n">
        <v>183</v>
      </c>
      <c r="B184" t="inlineStr">
        <is>
          <t>Goldin</t>
        </is>
      </c>
      <c r="C184" t="inlineStr">
        <is>
          <t>2013 Upper Deck All-Time Greats Signatures Silver #ATG-LJ3 LeBron James Signed Card (#3/5) - BGS MINT 9, Beckett 10</t>
        </is>
      </c>
      <c r="D184" t="inlineStr">
        <is>
          <t>2026-05-10</t>
        </is>
      </c>
      <c r="E184" s="2" t="n">
        <v>3744.4</v>
      </c>
      <c r="F184" t="inlineStr">
        <is>
          <t>Lebron James 2003-04 Upper Deck Lebron's Diary #LJ3 MT+ SGC 9.5</t>
        </is>
      </c>
      <c r="G184" s="2" t="n">
        <v>40</v>
      </c>
      <c r="H184" t="n">
        <v>13</v>
      </c>
      <c r="I184" s="3" t="n"/>
      <c r="J184" s="2">
        <f>IF(I184&lt;&gt;"",I184,G184)</f>
        <v/>
      </c>
      <c r="K184" s="2">
        <f>E184-J184</f>
        <v/>
      </c>
      <c r="L184" s="4">
        <f>IF(J184&gt;0,K184/J184,"")</f>
        <v/>
      </c>
    </row>
    <row r="185">
      <c r="A185" t="n">
        <v>184</v>
      </c>
      <c r="B185" t="inlineStr">
        <is>
          <t>Goldin</t>
        </is>
      </c>
      <c r="C185" t="inlineStr">
        <is>
          <t>2001-02 Topps Pristine Refractor #6 Michael Jordan (#21/50) - PSA GEM MT 10</t>
        </is>
      </c>
      <c r="D185" t="inlineStr">
        <is>
          <t>2026-04-21</t>
        </is>
      </c>
      <c r="E185" s="2" t="n">
        <v>6901.15</v>
      </c>
      <c r="F185" t="inlineStr">
        <is>
          <t>1996 Topps Stars Michael Jordan Finest Refractor #124 PSA 10</t>
        </is>
      </c>
      <c r="G185" s="2" t="n">
        <v>3050</v>
      </c>
      <c r="H185" t="n">
        <v>18</v>
      </c>
      <c r="I185" s="3" t="n"/>
      <c r="J185" s="2">
        <f>IF(I185&lt;&gt;"",I185,G185)</f>
        <v/>
      </c>
      <c r="K185" s="2">
        <f>E185-J185</f>
        <v/>
      </c>
      <c r="L185" s="4">
        <f>IF(J185&gt;0,K185/J185,"")</f>
        <v/>
      </c>
    </row>
    <row r="186">
      <c r="A186" t="n">
        <v>185</v>
      </c>
      <c r="B186" t="inlineStr">
        <is>
          <t>Goldin</t>
        </is>
      </c>
      <c r="C186" t="inlineStr">
        <is>
          <t xml:space="preserve">2018 Panini Donruss Optic Rated Rookie Autograph Black Velocity #154 Josh Allen Signed Rookie Card (#05/25) - PSA MINT 9
</t>
        </is>
      </c>
      <c r="D186" t="inlineStr">
        <is>
          <t>2026-06-15</t>
        </is>
      </c>
      <c r="E186" s="2" t="n">
        <v>5865</v>
      </c>
      <c r="F186" t="inlineStr">
        <is>
          <t>Dirk Nowitzki 1998-99 Topps Chrome Refractor Rookie RC 154 Rare SP MAVS</t>
        </is>
      </c>
      <c r="G186" s="2" t="n">
        <v>1555</v>
      </c>
      <c r="H186" t="n">
        <v>14</v>
      </c>
      <c r="I186" s="3" t="n"/>
      <c r="J186" s="2">
        <f>IF(I186&lt;&gt;"",I186,G186)</f>
        <v/>
      </c>
      <c r="K186" s="2">
        <f>E186-J186</f>
        <v/>
      </c>
      <c r="L186" s="4">
        <f>IF(J186&gt;0,K186/J186,"")</f>
        <v/>
      </c>
    </row>
    <row r="187">
      <c r="A187" t="n">
        <v>186</v>
      </c>
      <c r="B187" t="inlineStr">
        <is>
          <t>Goldin</t>
        </is>
      </c>
      <c r="C187" t="inlineStr">
        <is>
          <t>2022-23 Panini Flawless Patch Autograph Silver #SPA-SGA Shai Gilgeous-Alexander Signed Game-Used Patch Card (#02/25) - Jersey Number - Panini Encased</t>
        </is>
      </c>
      <c r="D187" t="inlineStr">
        <is>
          <t>2026-06-18</t>
        </is>
      </c>
      <c r="E187" s="2" t="n">
        <v>4663.25</v>
      </c>
      <c r="F187" t="inlineStr">
        <is>
          <t>2024-25 Panini Immaculate Shai Gilgeous-Alexander Game Worn Patch /25 MAT-SGA</t>
        </is>
      </c>
      <c r="G187" s="2" t="n">
        <v>153.5</v>
      </c>
      <c r="H187" t="n">
        <v>21</v>
      </c>
      <c r="I187" s="3" t="n"/>
      <c r="J187" s="2">
        <f>IF(I187&lt;&gt;"",I187,G187)</f>
        <v/>
      </c>
      <c r="K187" s="2">
        <f>E187-J187</f>
        <v/>
      </c>
      <c r="L187" s="4">
        <f>IF(J187&gt;0,K187/J187,"")</f>
        <v/>
      </c>
    </row>
    <row r="188">
      <c r="A188" t="n">
        <v>187</v>
      </c>
      <c r="B188" t="inlineStr">
        <is>
          <t>Goldin</t>
        </is>
      </c>
      <c r="C188" t="inlineStr">
        <is>
          <t xml:space="preserve">2019 Panini Industry Summit 2015-16 National Treasures Rookie Autograph #152 Nikola Jokic Signed Rookie Card (#1/1) - PSA MINT 9, PSA/DNA GEM MT 10
</t>
        </is>
      </c>
      <c r="D188" t="inlineStr">
        <is>
          <t>2026-04-13</t>
        </is>
      </c>
      <c r="E188" s="2" t="n">
        <v>10350</v>
      </c>
      <c r="F188" t="inlineStr">
        <is>
          <t>JARED MCCAIN 2024-25 OBSIDIAN ROOKIE GOLD FLOOD ETCH #152 RC /10 PSA 9 Q4945</t>
        </is>
      </c>
      <c r="G188" s="2" t="n">
        <v>114.05</v>
      </c>
      <c r="H188" t="n">
        <v>14</v>
      </c>
      <c r="I188" s="3" t="n"/>
      <c r="J188" s="2">
        <f>IF(I188&lt;&gt;"",I188,G188)</f>
        <v/>
      </c>
      <c r="K188" s="2">
        <f>E188-J188</f>
        <v/>
      </c>
      <c r="L188" s="4">
        <f>IF(J188&gt;0,K188/J188,"")</f>
        <v/>
      </c>
    </row>
    <row r="189">
      <c r="A189" t="n">
        <v>188</v>
      </c>
      <c r="B189" t="inlineStr">
        <is>
          <t>Goldin</t>
        </is>
      </c>
      <c r="C189" t="inlineStr">
        <is>
          <t>2013 Upper Deck All-Time Greats Base Autographs #73 Michael Jordan Signed Card (#1/1) - BGS MINT 9</t>
        </is>
      </c>
      <c r="D189" t="inlineStr">
        <is>
          <t>2026-05-13</t>
        </is>
      </c>
      <c r="E189" s="2" t="n">
        <v>21102.5</v>
      </c>
      <c r="F189" t="inlineStr">
        <is>
          <t>2013 UD All Time Greats Michael Jordan #73 Auto 1/1!! BGS 9</t>
        </is>
      </c>
      <c r="G189" s="2" t="n">
        <v>10000</v>
      </c>
      <c r="H189" t="n">
        <v>25</v>
      </c>
      <c r="I189" s="3" t="n"/>
      <c r="J189" s="2">
        <f>IF(I189&lt;&gt;"",I189,G189)</f>
        <v/>
      </c>
      <c r="K189" s="2">
        <f>E189-J189</f>
        <v/>
      </c>
      <c r="L189" s="4">
        <f>IF(J189&gt;0,K189/J189,"")</f>
        <v/>
      </c>
    </row>
    <row r="190">
      <c r="A190" t="n">
        <v>189</v>
      </c>
      <c r="B190" t="inlineStr">
        <is>
          <t>Goldin</t>
        </is>
      </c>
      <c r="C190" t="inlineStr">
        <is>
          <t>2023-24 Topps Royalty Patch Autographs #115 Victor Wembanyama Signed Patch Rookie Card (#98/99) - PSA NM-MT 8</t>
        </is>
      </c>
      <c r="D190" t="inlineStr">
        <is>
          <t>2026-06-11</t>
        </is>
      </c>
      <c r="E190" s="2" t="n">
        <v>13800</v>
      </c>
      <c r="F190" t="inlineStr">
        <is>
          <t>Dwyane Wade Miami Heat 2003 Topps Chrome Refractor Rookie Card #115 PSA 9</t>
        </is>
      </c>
      <c r="G190" s="2" t="n">
        <v>450</v>
      </c>
      <c r="H190" t="n">
        <v>16</v>
      </c>
      <c r="I190" s="3" t="n"/>
      <c r="J190" s="2">
        <f>IF(I190&lt;&gt;"",I190,G190)</f>
        <v/>
      </c>
      <c r="K190" s="2">
        <f>E190-J190</f>
        <v/>
      </c>
      <c r="L190" s="4">
        <f>IF(J190&gt;0,K190/J190,"")</f>
        <v/>
      </c>
    </row>
    <row r="192">
      <c r="A192" t="n">
        <v>191</v>
      </c>
      <c r="B192" t="inlineStr">
        <is>
          <t>Goldin</t>
        </is>
      </c>
      <c r="C192" t="inlineStr">
        <is>
          <t>2012-13 Upper Deck Exquisite Collection UD Black Signatures #B-MI Michael Jordan Signed Card (#33/75) - PSA GEM MT 10</t>
        </is>
      </c>
      <c r="D192" s="1" t="inlineStr"/>
      <c r="E192" s="3" t="n">
        <v>10465</v>
      </c>
      <c r="F192" t="inlineStr">
        <is>
          <t>Michael Jordan 2012-13 UD Exquisite Black Signatures Autograph #59/75 BGS 9.5</t>
        </is>
      </c>
      <c r="G192" s="2" t="n">
        <v>5250</v>
      </c>
      <c r="H192" t="n">
        <v>22</v>
      </c>
      <c r="I192" s="9" t="n"/>
      <c r="J192" s="3">
        <f>IF(I192&lt;&gt;"",I192,G192)</f>
        <v/>
      </c>
      <c r="K192" s="3">
        <f>E192-J192</f>
        <v/>
      </c>
      <c r="L192" s="5">
        <f>IF(J192&gt;0,K192/J192,"")</f>
        <v/>
      </c>
    </row>
    <row r="193">
      <c r="A193" t="n">
        <v>192</v>
      </c>
      <c r="B193" t="inlineStr">
        <is>
          <t>Goldin</t>
        </is>
      </c>
      <c r="C193" t="inlineStr">
        <is>
          <t>2023-24 Topps Chrome 1972 Topps Autographs Gold Refractor #TA-VW Victor Wembanyama Signed Rookie Card (#04/50) - PSA MINT 9</t>
        </is>
      </c>
      <c r="E193" s="2" t="n">
        <v>7123.1</v>
      </c>
      <c r="F193" t="inlineStr">
        <is>
          <t>2023-24 Topps Chrome Victor Wembanyama 1972 Auto Gold Refractor RC #4/50 Spurs</t>
        </is>
      </c>
      <c r="G193" s="2" t="n">
        <v>2025</v>
      </c>
      <c r="H193" t="n">
        <v>26</v>
      </c>
      <c r="I193" s="9" t="n"/>
      <c r="J193" s="2">
        <f>IF(I193&lt;&gt;"",I193,G193)</f>
        <v/>
      </c>
      <c r="K193" s="2">
        <f>E193-J193</f>
        <v/>
      </c>
      <c r="L193" s="4">
        <f>IF(J193&gt;0,K193/J193,"")</f>
        <v/>
      </c>
    </row>
    <row r="194">
      <c r="A194" t="n">
        <v>193</v>
      </c>
      <c r="B194" t="inlineStr">
        <is>
          <t>Goldin</t>
        </is>
      </c>
      <c r="C194" t="inlineStr">
        <is>
          <t>2025-26 Topps Silver Pack '80-81 Chrome Basketball Rookie Autographs Orange Refractor #80CR2-CF Cooper Flagg Signed Rookie Card (#17/25) - PSA MINT 9, PSA/DNA GEM MT 10</t>
        </is>
      </c>
      <c r="E194" s="2" t="n">
        <v>4427.5</v>
      </c>
      <c r="F194" t="inlineStr">
        <is>
          <t>Will Riley 2025 Topps Chrome #80CR2-WR Orange Mojo Refractor Rookie Auto RC /25</t>
        </is>
      </c>
      <c r="G194" s="2" t="n">
        <v>122.5</v>
      </c>
      <c r="H194" t="n">
        <v>30</v>
      </c>
      <c r="I194" s="9" t="n"/>
      <c r="J194" s="2">
        <f>IF(I194&lt;&gt;"",I194,G194)</f>
        <v/>
      </c>
      <c r="K194" s="2">
        <f>E194-J194</f>
        <v/>
      </c>
      <c r="L194" s="4">
        <f>IF(J194&gt;0,K194/J194,"")</f>
        <v/>
      </c>
    </row>
    <row r="195">
      <c r="A195" t="n">
        <v>194</v>
      </c>
      <c r="B195" t="inlineStr">
        <is>
          <t>Goldin</t>
        </is>
      </c>
      <c r="C195" t="inlineStr">
        <is>
          <t>2018-19 Panini National Treasures Peerless Signatures #PS-KBR Kobe Bryant Signed Card (#03/25) - BGS MINT 9, Beckett 10</t>
        </is>
      </c>
      <c r="E195" s="2" t="n">
        <v>4025</v>
      </c>
      <c r="F195" t="inlineStr">
        <is>
          <t>2018 National Treasures Kobe Bryant Peerless Auto #6 /25 BGS 9/10</t>
        </is>
      </c>
      <c r="G195" s="2" t="n">
        <v>6180</v>
      </c>
      <c r="H195" t="n">
        <v>20</v>
      </c>
      <c r="I195" s="9" t="n"/>
      <c r="J195" s="2">
        <f>IF(I195&lt;&gt;"",I195,G195)</f>
        <v/>
      </c>
      <c r="K195" s="2">
        <f>E195-J195</f>
        <v/>
      </c>
      <c r="L195" s="4">
        <f>IF(J195&gt;0,K195/J195,"")</f>
        <v/>
      </c>
    </row>
    <row r="196">
      <c r="A196" t="n">
        <v>195</v>
      </c>
      <c r="B196" t="inlineStr">
        <is>
          <t>Goldin</t>
        </is>
      </c>
      <c r="C196" t="inlineStr">
        <is>
          <t>2015-16 Panini Noir Autographs Color Gold #NC-KBR Kobe Bryant Signed Card (#4/5) - PSA EX-MT 6 - Pop 1</t>
        </is>
      </c>
      <c r="E196" s="2" t="n">
        <v>3795</v>
      </c>
      <c r="F196" t="inlineStr">
        <is>
          <t>KOBE BRYANT 2015-16 PANINI NOIR AUTOGRAPH GOLD INK LAKERS AUTO /5 Q3873</t>
        </is>
      </c>
      <c r="G196" s="2" t="n">
        <v>3550</v>
      </c>
      <c r="H196" t="n">
        <v>24</v>
      </c>
      <c r="I196" s="9" t="n"/>
      <c r="J196" s="2">
        <f>IF(I196&lt;&gt;"",I196,G196)</f>
        <v/>
      </c>
      <c r="K196" s="2">
        <f>E196-J196</f>
        <v/>
      </c>
      <c r="L196" s="4">
        <f>IF(J196&gt;0,K196/J196,"")</f>
        <v/>
      </c>
    </row>
    <row r="197">
      <c r="A197" t="n">
        <v>196</v>
      </c>
      <c r="B197" t="inlineStr">
        <is>
          <t>Goldin</t>
        </is>
      </c>
      <c r="C197" t="inlineStr">
        <is>
          <t>2018 Panini Kaboom! #K-NJ Neymar Jr. - PSA GEM MT 10</t>
        </is>
      </c>
      <c r="E197" s="2" t="n">
        <v>3576.5</v>
      </c>
      <c r="F197" t="inlineStr">
        <is>
          <t>2018 Panini Kaboom Neymar Jr. #NJ PSA 10 GEM MINT Brazil Low POP Rare</t>
        </is>
      </c>
      <c r="G197" s="2" t="n">
        <v>4000</v>
      </c>
      <c r="H197" t="n">
        <v>17</v>
      </c>
      <c r="I197" s="9" t="n"/>
      <c r="J197" s="2">
        <f>IF(I197&lt;&gt;"",I197,G197)</f>
        <v/>
      </c>
      <c r="K197" s="2">
        <f>E197-J197</f>
        <v/>
      </c>
      <c r="L197" s="4">
        <f>IF(J197&gt;0,K197/J197,"")</f>
        <v/>
      </c>
    </row>
    <row r="198">
      <c r="A198" t="n">
        <v>197</v>
      </c>
      <c r="B198" t="inlineStr">
        <is>
          <t>Goldin</t>
        </is>
      </c>
      <c r="C198" t="inlineStr">
        <is>
          <t>2003-04 Upper Deck Top Prospects Signs of Success #SS-LJ LeBron James Signed Rookie Card - BGS MINT 9, Beckett 10</t>
        </is>
      </c>
      <c r="E198" s="2" t="n">
        <v>3047.5</v>
      </c>
      <c r="F198" t="inlineStr">
        <is>
          <t>LeBron James Rookie Card 2003 UD Top Prospects Signs Of Success  BGS 9 Auto 10</t>
        </is>
      </c>
      <c r="G198" s="2" t="n">
        <v>2800</v>
      </c>
      <c r="H198" t="n">
        <v>17</v>
      </c>
      <c r="I198" s="9" t="n"/>
      <c r="J198" s="2">
        <f>IF(I198&lt;&gt;"",I198,G198)</f>
        <v/>
      </c>
      <c r="K198" s="2">
        <f>E198-J198</f>
        <v/>
      </c>
      <c r="L198" s="4">
        <f>IF(J198&gt;0,K198/J198,"")</f>
        <v/>
      </c>
    </row>
    <row r="199">
      <c r="A199" t="n">
        <v>198</v>
      </c>
      <c r="B199" t="inlineStr">
        <is>
          <t>Goldin</t>
        </is>
      </c>
      <c r="C199" t="inlineStr">
        <is>
          <t>2025-26 Topps Chrome Future Stars Autographs Green Refractor #FS-CF Cooper Flagg Signed Rookie Card (#43/99) - PSA MINT 9, PSA/DNA GEM MT 10</t>
        </is>
      </c>
      <c r="E199" s="2" t="n">
        <v>2760</v>
      </c>
      <c r="F199" t="inlineStr">
        <is>
          <t>2025-26 Topps Chrome Cooper Flagg Future Stars Auto Green Refractor RC #/99</t>
        </is>
      </c>
      <c r="G199" s="2" t="n">
        <v>2234</v>
      </c>
      <c r="H199" t="n">
        <v>26</v>
      </c>
      <c r="I199" s="9" t="n"/>
      <c r="J199" s="2">
        <f>IF(I199&lt;&gt;"",I199,G199)</f>
        <v/>
      </c>
      <c r="K199" s="2">
        <f>E199-J199</f>
        <v/>
      </c>
      <c r="L199" s="4">
        <f>IF(J199&gt;0,K199/J199,"")</f>
        <v/>
      </c>
    </row>
    <row r="200">
      <c r="A200" t="n">
        <v>199</v>
      </c>
      <c r="B200" t="inlineStr">
        <is>
          <t>Goldin</t>
        </is>
      </c>
      <c r="C200" t="inlineStr">
        <is>
          <t>2023-24 Bowman U Best of 2023 Autograph Geometric Red Refractor #B23-CC Caitlin Clark Signed Rookie Card (#01/10) - PSA MINT 9, PSA/DNA GEM MT 10</t>
        </is>
      </c>
      <c r="E200" s="2" t="n">
        <v>2645</v>
      </c>
      <c r="F200" t="inlineStr">
        <is>
          <t>2023 Bowman U Best CAITLIN CLARK Geo Red Refractor Auto /10 PSA 9/10 Iowa Fever</t>
        </is>
      </c>
      <c r="G200" s="2" t="n">
        <v>2700</v>
      </c>
      <c r="H200" t="n">
        <v>24</v>
      </c>
      <c r="I200" s="9" t="n"/>
      <c r="J200" s="2">
        <f>IF(I200&lt;&gt;"",I200,G200)</f>
        <v/>
      </c>
      <c r="K200" s="2">
        <f>E200-J200</f>
        <v/>
      </c>
      <c r="L200" s="4">
        <f>IF(J200&gt;0,K200/J200,"")</f>
        <v/>
      </c>
    </row>
    <row r="201">
      <c r="A201" t="n">
        <v>200</v>
      </c>
      <c r="B201" t="inlineStr">
        <is>
          <t>Goldin</t>
        </is>
      </c>
      <c r="C201" t="inlineStr">
        <is>
          <t>2020-21 Panini Flawless Draft Gem Signatures Ruby #DG-AEW Anthony Edwards Signed Rookie Card (#15/15) - Panini Encased</t>
        </is>
      </c>
      <c r="E201" s="2" t="n">
        <v>2601.3</v>
      </c>
      <c r="F201" t="inlineStr">
        <is>
          <t>15/15 ≈1/1 2020-21 Panini Flawless Anthony Edwards Ruby Draft Gem Auto RC Rookie</t>
        </is>
      </c>
      <c r="G201" s="2" t="n">
        <v>2899</v>
      </c>
      <c r="H201" t="n">
        <v>26</v>
      </c>
      <c r="I201" s="9" t="n"/>
      <c r="J201" s="2">
        <f>IF(I201&lt;&gt;"",I201,G201)</f>
        <v/>
      </c>
      <c r="K201" s="2">
        <f>E201-J201</f>
        <v/>
      </c>
      <c r="L201" s="4">
        <f>IF(J201&gt;0,K201/J201,"")</f>
        <v/>
      </c>
    </row>
    <row r="202">
      <c r="A202" t="n">
        <v>201</v>
      </c>
      <c r="B202" t="inlineStr">
        <is>
          <t>Goldin</t>
        </is>
      </c>
      <c r="C202" t="inlineStr">
        <is>
          <t>2023-24 Topps Chrome UCC Future Stars Autographs SuperFractor #FSA-KM Kobbie Mainoo Signed Card (#1/1) - PSA NM-MT 8</t>
        </is>
      </c>
      <c r="E202" s="2" t="n">
        <v>2472.5</v>
      </c>
      <c r="F202" t="inlineStr">
        <is>
          <t>2023-24 Topps Royalty Zach LaVine Regalia Relic Patch Platinum Auto #1/1</t>
        </is>
      </c>
      <c r="G202" s="2" t="n">
        <v>89.89</v>
      </c>
      <c r="H202" t="n">
        <v>22</v>
      </c>
      <c r="I202" s="9" t="n"/>
      <c r="J202" s="2">
        <f>IF(I202&lt;&gt;"",I202,G202)</f>
        <v/>
      </c>
      <c r="K202" s="2">
        <f>E202-J202</f>
        <v/>
      </c>
      <c r="L202" s="4">
        <f>IF(J202&gt;0,K202/J202,"")</f>
        <v/>
      </c>
    </row>
    <row r="203">
      <c r="A203" t="n">
        <v>202</v>
      </c>
      <c r="B203" t="inlineStr">
        <is>
          <t>Goldin</t>
        </is>
      </c>
      <c r="C203" t="inlineStr">
        <is>
          <t>2022-23 Bowman U Best of '22 Autographs #BOA-VW Victor Wembanyama Signed Rookie Card - PSA GEM MT 10</t>
        </is>
      </c>
      <c r="E203" s="2" t="n">
        <v>2472.5</v>
      </c>
      <c r="F203" t="inlineStr">
        <is>
          <t>2022-23 Bowman University - Victor Wembanyama Best of 2022 Auto PSA 10</t>
        </is>
      </c>
      <c r="G203" s="2" t="n">
        <v>1550</v>
      </c>
      <c r="H203" t="n">
        <v>17</v>
      </c>
      <c r="I203" s="9" t="n"/>
      <c r="J203" s="2">
        <f>IF(I203&lt;&gt;"",I203,G203)</f>
        <v/>
      </c>
      <c r="K203" s="2">
        <f>E203-J203</f>
        <v/>
      </c>
      <c r="L203" s="4">
        <f>IF(J203&gt;0,K203/J203,"")</f>
        <v/>
      </c>
    </row>
    <row r="204">
      <c r="A204" t="n">
        <v>203</v>
      </c>
      <c r="B204" t="inlineStr">
        <is>
          <t>Goldin</t>
        </is>
      </c>
      <c r="C204" t="inlineStr">
        <is>
          <t>2025-26 Topps Chrome Next Stop Signatures Purple Geometric Refractor #NS-CF Cooper Flagg Signed Rookie Card (#68/75) - PSA MINT 9</t>
        </is>
      </c>
      <c r="E204" s="2" t="n">
        <v>2375.9</v>
      </c>
      <c r="F204" t="inlineStr">
        <is>
          <t>ESTEVAO WILLIAN 2025-26 TOPPS CHROME GEOMETRIC REFRACTOR ROOKIE #68 Q2723</t>
        </is>
      </c>
      <c r="G204" s="2" t="n">
        <v>9.380000000000001</v>
      </c>
      <c r="H204" t="n">
        <v>25</v>
      </c>
      <c r="I204" s="9" t="n"/>
      <c r="J204" s="2">
        <f>IF(I204&lt;&gt;"",I204,G204)</f>
        <v/>
      </c>
      <c r="K204" s="2">
        <f>E204-J204</f>
        <v/>
      </c>
      <c r="L204" s="4">
        <f>IF(J204&gt;0,K204/J204,"")</f>
        <v/>
      </c>
    </row>
    <row r="205">
      <c r="A205" t="n">
        <v>204</v>
      </c>
      <c r="B205" t="inlineStr">
        <is>
          <t>Goldin</t>
        </is>
      </c>
      <c r="C205" t="inlineStr">
        <is>
          <t xml:space="preserve">2023 Bowman Draft Picks &amp; Prospects Autographs Red #DPPA-PS Paul Skenes Signed Rookie Card (#2/5) - PSA MINT 9
</t>
        </is>
      </c>
      <c r="E205" s="2" t="n">
        <v>2300</v>
      </c>
      <c r="F205" t="inlineStr">
        <is>
          <t>2023 BOWMAN DRAFT DRAFT PICKS &amp; PROSPECTS AUTO RED PAUL SKENES 2/5 PSA 9</t>
        </is>
      </c>
      <c r="G205" s="2" t="n">
        <v>1580</v>
      </c>
      <c r="H205" t="n">
        <v>26</v>
      </c>
      <c r="I205" s="9" t="n"/>
      <c r="J205" s="2">
        <f>IF(I205&lt;&gt;"",I205,G205)</f>
        <v/>
      </c>
      <c r="K205" s="2">
        <f>E205-J205</f>
        <v/>
      </c>
      <c r="L205" s="4">
        <f>IF(J205&gt;0,K205/J205,"")</f>
        <v/>
      </c>
    </row>
    <row r="206">
      <c r="A206" t="n">
        <v>205</v>
      </c>
      <c r="B206" t="inlineStr">
        <is>
          <t>Goldin</t>
        </is>
      </c>
      <c r="C206" t="inlineStr">
        <is>
          <t>2023-24 Topps Chrome UCC Black Lazer Autograph #BLA-LY Lamine Yamal Signed Rookie Card - PSA MINT 9, PSA/DNA GEM MT 10</t>
        </is>
      </c>
      <c r="E206" s="2" t="n">
        <v>2242.5</v>
      </c>
      <c r="F206" t="inlineStr">
        <is>
          <t>2023 TOPPS CHROME UEFA CLUB COMPETITIONS LAMINE YAMAL BLACK LAZER AUTO ROOKIE RC</t>
        </is>
      </c>
      <c r="G206" s="2" t="n">
        <v>1525</v>
      </c>
      <c r="H206" t="n">
        <v>23</v>
      </c>
      <c r="I206" s="9" t="n"/>
      <c r="J206" s="2">
        <f>IF(I206&lt;&gt;"",I206,G206)</f>
        <v/>
      </c>
      <c r="K206" s="2">
        <f>E206-J206</f>
        <v/>
      </c>
      <c r="L206" s="4">
        <f>IF(J206&gt;0,K206/J206,"")</f>
        <v/>
      </c>
    </row>
    <row r="207">
      <c r="A207" t="n">
        <v>206</v>
      </c>
      <c r="B207" t="inlineStr">
        <is>
          <t>Goldin</t>
        </is>
      </c>
      <c r="C207" t="inlineStr">
        <is>
          <t>2020-21 Panini One and One Rookie Jersey Autographs Blue #RJA-AED Anthony Edwards Signed Patch Rookie Card (#26/35) - PSA Authentic, PSA/DNA GEM MT 10</t>
        </is>
      </c>
      <c r="E207" s="2" t="n">
        <v>2127.5</v>
      </c>
      <c r="F207" t="inlineStr">
        <is>
          <t>2020-21 One And One Anthony Edwards Purple RC Patch RPA /35 PSA 10 Auto POP 2</t>
        </is>
      </c>
      <c r="G207" s="2" t="n">
        <v>2066</v>
      </c>
      <c r="H207" t="n">
        <v>22</v>
      </c>
      <c r="I207" s="9" t="n"/>
      <c r="J207" s="2">
        <f>IF(I207&lt;&gt;"",I207,G207)</f>
        <v/>
      </c>
      <c r="K207" s="2">
        <f>E207-J207</f>
        <v/>
      </c>
      <c r="L207" s="4">
        <f>IF(J207&gt;0,K207/J207,"")</f>
        <v/>
      </c>
    </row>
    <row r="208">
      <c r="A208" t="n">
        <v>207</v>
      </c>
      <c r="B208" t="inlineStr">
        <is>
          <t>Goldin</t>
        </is>
      </c>
      <c r="C208" t="inlineStr">
        <is>
          <t xml:space="preserve">2019-20 Panini Flawless Premium Ink #PI-SCY Stephen Curry Signed Card (#01/25) - PSA MINT 9, PSA/DNA GEM MT 10 - Pop 1
</t>
        </is>
      </c>
      <c r="E208" s="2" t="n">
        <v>2070</v>
      </c>
      <c r="F208" t="inlineStr">
        <is>
          <t>2019 Panini Flawless Premium Ink Stephen Curry /25 on card auto PSA 9/10 Pop. 2!</t>
        </is>
      </c>
      <c r="G208" s="2" t="n">
        <v>4150</v>
      </c>
      <c r="H208" t="n">
        <v>24</v>
      </c>
      <c r="I208" s="9" t="n"/>
      <c r="J208" s="2">
        <f>IF(I208&lt;&gt;"",I208,G208)</f>
        <v/>
      </c>
      <c r="K208" s="2">
        <f>E208-J208</f>
        <v/>
      </c>
      <c r="L208" s="4">
        <f>IF(J208&gt;0,K208/J208,"")</f>
        <v/>
      </c>
    </row>
    <row r="209">
      <c r="A209" t="n">
        <v>208</v>
      </c>
      <c r="B209" t="inlineStr">
        <is>
          <t>Goldin</t>
        </is>
      </c>
      <c r="C209" t="inlineStr">
        <is>
          <t xml:space="preserve">2015-16 Panini National Treasures Clutch Factor Jersey Autograph #CF-SCR Stephen Curry Signed Relic Card (#14/25) - PSA MINT 9 - Pop 4
</t>
        </is>
      </c>
      <c r="E209" s="2" t="n">
        <v>2070</v>
      </c>
      <c r="F209" t="inlineStr">
        <is>
          <t>2015-16 National Treasures Stephen Curry Clutch Factor Patch Auto /25 PSA 9 Mint</t>
        </is>
      </c>
      <c r="G209" s="2" t="n">
        <v>2165</v>
      </c>
      <c r="H209" t="n">
        <v>22</v>
      </c>
      <c r="I209" s="9" t="n"/>
      <c r="J209" s="2">
        <f>IF(I209&lt;&gt;"",I209,G209)</f>
        <v/>
      </c>
      <c r="K209" s="2">
        <f>E209-J209</f>
        <v/>
      </c>
      <c r="L209" s="4">
        <f>IF(J209&gt;0,K209/J209,"")</f>
        <v/>
      </c>
    </row>
    <row r="210">
      <c r="A210" t="n">
        <v>209</v>
      </c>
      <c r="B210" t="inlineStr">
        <is>
          <t>Goldin</t>
        </is>
      </c>
      <c r="C210" t="inlineStr">
        <is>
          <t>2025 Topps Five Star Golden Graphs Blue #GG-YY Yoshinobu Yamamoto Signed Card (#19/20) - Topps Encased</t>
        </is>
      </c>
      <c r="E210" s="2" t="n">
        <v>1851.5</v>
      </c>
      <c r="F210" t="inlineStr">
        <is>
          <t>Yoshinobu Yamamoto 2025 Topps Five Star Golden Graphs Auto Blue /20 Dodgers</t>
        </is>
      </c>
      <c r="G210" s="2" t="n">
        <v>700</v>
      </c>
      <c r="H210" t="n">
        <v>22</v>
      </c>
      <c r="I210" s="9" t="n"/>
      <c r="J210" s="2">
        <f>IF(I210&lt;&gt;"",I210,G210)</f>
        <v/>
      </c>
      <c r="K210" s="2">
        <f>E210-J210</f>
        <v/>
      </c>
      <c r="L210" s="4">
        <f>IF(J210&gt;0,K210/J210,"")</f>
        <v/>
      </c>
    </row>
    <row r="211">
      <c r="A211" t="n">
        <v>210</v>
      </c>
      <c r="B211" t="inlineStr">
        <is>
          <t>Goldin</t>
        </is>
      </c>
      <c r="C211" t="inlineStr">
        <is>
          <t>2008 Upper Deck SP Rookie Threads SP Dual Threads #TD-BJ Kobe Bryant/Michael Jordan Relic Card - BGS NM-MT+ 8.5</t>
        </is>
      </c>
      <c r="E211" s="2" t="n">
        <v>1841.15</v>
      </c>
      <c r="F211" t="inlineStr">
        <is>
          <t>2008 Sp Rookie Patch Michael Jordan/Kobe Bryant Dual Game Used BGS 8.5</t>
        </is>
      </c>
      <c r="G211" s="2" t="n">
        <v>2075</v>
      </c>
      <c r="H211" t="n">
        <v>15</v>
      </c>
      <c r="I211" s="9" t="n"/>
      <c r="J211" s="2">
        <f>IF(I211&lt;&gt;"",I211,G211)</f>
        <v/>
      </c>
      <c r="K211" s="2">
        <f>E211-J211</f>
        <v/>
      </c>
      <c r="L211" s="4">
        <f>IF(J211&gt;0,K211/J211,"")</f>
        <v/>
      </c>
    </row>
    <row r="212">
      <c r="A212" t="n">
        <v>211</v>
      </c>
      <c r="B212" t="inlineStr">
        <is>
          <t>Goldin</t>
        </is>
      </c>
      <c r="C212" t="inlineStr">
        <is>
          <t xml:space="preserve">2024-25 Panini Flawless All-Star Ink Gold #ANB-LUD Luka Doncic Signed Card (#04/10) - Panini Encased
</t>
        </is>
      </c>
      <c r="E212" s="2" t="n">
        <v>1840</v>
      </c>
      <c r="F212" t="inlineStr">
        <is>
          <t>2024-25 Panini Flawless Luka Doncic All-NBA Ink Signatures Auto Gold /10</t>
        </is>
      </c>
      <c r="G212" s="2" t="n">
        <v>2806</v>
      </c>
      <c r="H212" t="n">
        <v>24</v>
      </c>
      <c r="I212" s="9" t="n"/>
      <c r="J212" s="2">
        <f>IF(I212&lt;&gt;"",I212,G212)</f>
        <v/>
      </c>
      <c r="K212" s="2">
        <f>E212-J212</f>
        <v/>
      </c>
      <c r="L212" s="4">
        <f>IF(J212&gt;0,K212/J212,"")</f>
        <v/>
      </c>
    </row>
    <row r="213">
      <c r="A213" t="n">
        <v>212</v>
      </c>
      <c r="B213" t="inlineStr">
        <is>
          <t>Goldin</t>
        </is>
      </c>
      <c r="C213" t="inlineStr">
        <is>
          <t>2023-24 Topps Now Autographs #VW-6A Victor Wembanyama Signed Rookie Card (#47/99) - PSA MINT 9</t>
        </is>
      </c>
      <c r="E213" s="2" t="n">
        <v>1667.5</v>
      </c>
      <c r="F213" t="inlineStr">
        <is>
          <t>2023-2024 Victor Wembanyama Topps Mercury RPA Rookie Patch Auto /99 Prizm RC</t>
        </is>
      </c>
      <c r="G213" s="2" t="n">
        <v>2000</v>
      </c>
      <c r="H213" t="n">
        <v>22</v>
      </c>
      <c r="I213" s="9" t="n"/>
      <c r="J213" s="2">
        <f>IF(I213&lt;&gt;"",I213,G213)</f>
        <v/>
      </c>
      <c r="K213" s="2">
        <f>E213-J213</f>
        <v/>
      </c>
      <c r="L213" s="4">
        <f>IF(J213&gt;0,K213/J213,"")</f>
        <v/>
      </c>
    </row>
    <row r="214">
      <c r="A214" t="n">
        <v>213</v>
      </c>
      <c r="B214" t="inlineStr">
        <is>
          <t>Goldin</t>
        </is>
      </c>
      <c r="C214" t="inlineStr">
        <is>
          <t>2019 Topps Diamond Icons Autographs Gold #DIA-MT Mike Trout Signed Card (#1/1) - BGS GEM MINT 9.5, Beckett 10 - True Gem</t>
        </is>
      </c>
      <c r="E214" s="2" t="n">
        <v>1610</v>
      </c>
      <c r="F214" t="inlineStr">
        <is>
          <t>1/1 MIKE TROUT BGS 9.5 2019 TOPPS DIAMOND ICONS DIAMOND ICONS AUTO GOLD 1/1</t>
        </is>
      </c>
      <c r="G214" s="2" t="n">
        <v>1691</v>
      </c>
      <c r="H214" t="n">
        <v>22</v>
      </c>
      <c r="I214" s="9" t="n"/>
      <c r="J214" s="2">
        <f>IF(I214&lt;&gt;"",I214,G214)</f>
        <v/>
      </c>
      <c r="K214" s="2">
        <f>E214-J214</f>
        <v/>
      </c>
      <c r="L214" s="4">
        <f>IF(J214&gt;0,K214/J214,"")</f>
        <v/>
      </c>
    </row>
    <row r="215">
      <c r="A215" t="n">
        <v>214</v>
      </c>
      <c r="B215" t="inlineStr">
        <is>
          <t>Goldin</t>
        </is>
      </c>
      <c r="C215" t="inlineStr">
        <is>
          <t>2023-24 Panini Contenders Optic 1986 Tribute Autographs International Jade #86-LKD Luka Doncic Signed Card (#3/5) - Panini Encased</t>
        </is>
      </c>
      <c r="E215" s="2" t="n">
        <v>1493.85</v>
      </c>
      <c r="F215" t="inlineStr">
        <is>
          <t>2023-24 Contenders Optic Luka Doncic Green Cracked Ice 1986 Tribute Auto /5</t>
        </is>
      </c>
      <c r="G215" s="2" t="n">
        <v>1733</v>
      </c>
      <c r="H215" t="n">
        <v>22</v>
      </c>
      <c r="I215" s="9" t="n"/>
      <c r="J215" s="2">
        <f>IF(I215&lt;&gt;"",I215,G215)</f>
        <v/>
      </c>
      <c r="K215" s="2">
        <f>E215-J215</f>
        <v/>
      </c>
      <c r="L215" s="4">
        <f>IF(J215&gt;0,K215/J215,"")</f>
        <v/>
      </c>
    </row>
    <row r="216">
      <c r="A216" t="n">
        <v>215</v>
      </c>
      <c r="B216" t="inlineStr">
        <is>
          <t>Goldin</t>
        </is>
      </c>
      <c r="C216" t="inlineStr">
        <is>
          <t>2020-21 Panini National Treasures Treasured Signatures Bronze #TS-LUD Luka Doncic Signed Card (#25/25) - PSA MINT 9</t>
        </is>
      </c>
      <c r="E216" s="2" t="n">
        <v>1463.95</v>
      </c>
      <c r="F216" t="inlineStr">
        <is>
          <t>2024-25 Select Luka Doncic Few Signatures Tie-Dye Prizm Auto #25/25 Lakers</t>
        </is>
      </c>
      <c r="G216" s="2" t="n">
        <v>1025</v>
      </c>
      <c r="H216" t="n">
        <v>23</v>
      </c>
      <c r="I216" s="9" t="n"/>
      <c r="J216" s="2">
        <f>IF(I216&lt;&gt;"",I216,G216)</f>
        <v/>
      </c>
      <c r="K216" s="2">
        <f>E216-J216</f>
        <v/>
      </c>
      <c r="L216" s="4">
        <f>IF(J216&gt;0,K216/J216,"")</f>
        <v/>
      </c>
    </row>
    <row r="217">
      <c r="A217" t="n">
        <v>216</v>
      </c>
      <c r="B217" t="inlineStr">
        <is>
          <t>Goldin</t>
        </is>
      </c>
      <c r="C217" t="inlineStr">
        <is>
          <t>2024-25 Bowman Chrome U Final Exam Autograph #FEA-CF Cooper Flagg Signed Rookie Card - PSA GEM MT 10</t>
        </is>
      </c>
      <c r="E217" s="2" t="n">
        <v>1449</v>
      </c>
      <c r="F217" t="inlineStr">
        <is>
          <t>2024 Bowman Chrome U Cooper Flagg COURSE LOAD Rookie Auto #CLA-CF PSA 10 #1 PICK</t>
        </is>
      </c>
      <c r="G217" s="2" t="n">
        <v>1500</v>
      </c>
      <c r="H217" t="n">
        <v>21</v>
      </c>
      <c r="I217" s="9" t="n"/>
      <c r="J217" s="2">
        <f>IF(I217&lt;&gt;"",I217,G217)</f>
        <v/>
      </c>
      <c r="K217" s="2">
        <f>E217-J217</f>
        <v/>
      </c>
      <c r="L217" s="4">
        <f>IF(J217&gt;0,K217/J217,"")</f>
        <v/>
      </c>
    </row>
    <row r="218">
      <c r="A218" t="n">
        <v>217</v>
      </c>
      <c r="B218" t="inlineStr">
        <is>
          <t>Goldin</t>
        </is>
      </c>
      <c r="C218" t="inlineStr">
        <is>
          <t>2022-23 Panini Immaculate Collection Scorers Club Signatures #SCS-LUD Luka Doncic Signed Card (#23/25) - PSA MINT 9</t>
        </is>
      </c>
      <c r="E218" s="2" t="n">
        <v>1392.65</v>
      </c>
      <c r="F218" t="inlineStr">
        <is>
          <t>2022 PANINI IMMACULATE COLLECTION LUKA DONCIC SCORERS CLUB AUTO /25 MINT PSA 9</t>
        </is>
      </c>
      <c r="G218" s="2" t="n">
        <v>1850</v>
      </c>
      <c r="H218" t="n">
        <v>22</v>
      </c>
      <c r="I218" s="9" t="n"/>
      <c r="J218" s="2">
        <f>IF(I218&lt;&gt;"",I218,G218)</f>
        <v/>
      </c>
      <c r="K218" s="2">
        <f>E218-J218</f>
        <v/>
      </c>
      <c r="L218" s="4">
        <f>IF(J218&gt;0,K218/J218,"")</f>
        <v/>
      </c>
    </row>
    <row r="219">
      <c r="A219" t="n">
        <v>218</v>
      </c>
      <c r="B219" t="inlineStr">
        <is>
          <t>Goldin</t>
        </is>
      </c>
      <c r="C219" t="inlineStr">
        <is>
          <t>2021-22 Topps Chrome PSG Autograph Wave Refractor #AU-KM Kylian Mbappe Signed Card (#41/50) - PSA MINT 9</t>
        </is>
      </c>
      <c r="E219" s="2" t="n">
        <v>1389.2</v>
      </c>
      <c r="F219" t="inlineStr">
        <is>
          <t>2021-22 Topps Chrome Paris Saint-Germain KYLIAN MBAPPE 41/50 Auto Wave Ref PSA 9</t>
        </is>
      </c>
      <c r="G219" s="2" t="n">
        <v>1675</v>
      </c>
      <c r="H219" t="n">
        <v>22</v>
      </c>
      <c r="I219" s="9" t="n"/>
      <c r="J219" s="2">
        <f>IF(I219&lt;&gt;"",I219,G219)</f>
        <v/>
      </c>
      <c r="K219" s="2">
        <f>E219-J219</f>
        <v/>
      </c>
      <c r="L219" s="4">
        <f>IF(J219&gt;0,K219/J219,"")</f>
        <v/>
      </c>
    </row>
    <row r="220">
      <c r="A220" t="n">
        <v>219</v>
      </c>
      <c r="B220" t="inlineStr">
        <is>
          <t>Goldin</t>
        </is>
      </c>
      <c r="C220" t="inlineStr">
        <is>
          <t>2014-15 Panini Flawless Association Autographs Emerald #AA-GA Giannis Antetokounmpo Signed Card (#1/5) - PSA NM 7</t>
        </is>
      </c>
      <c r="E220" s="2" t="n">
        <v>1151.15</v>
      </c>
      <c r="F220" t="inlineStr">
        <is>
          <t>2014 Panini National Treasures Giannis Antetokounmpo Association Autograph # 1/5</t>
        </is>
      </c>
      <c r="G220" s="2" t="n">
        <v>1634</v>
      </c>
      <c r="H220" t="n">
        <v>20</v>
      </c>
      <c r="I220" s="9" t="n"/>
      <c r="J220" s="2">
        <f>IF(I220&lt;&gt;"",I220,G220)</f>
        <v/>
      </c>
      <c r="K220" s="2">
        <f>E220-J220</f>
        <v/>
      </c>
      <c r="L220" s="4">
        <f>IF(J220&gt;0,K220/J220,"")</f>
        <v/>
      </c>
    </row>
    <row r="221">
      <c r="A221" t="n">
        <v>220</v>
      </c>
      <c r="B221" t="inlineStr">
        <is>
          <t>Goldin</t>
        </is>
      </c>
      <c r="C221" t="inlineStr">
        <is>
          <t>2023-24 Topps Finest Masters Autograph Red/Black Vapor Geometric Refractor #MA-SC Stephen Curry Signed Card (#01/10) - Topps Sealed</t>
        </is>
      </c>
      <c r="E221" s="2" t="n">
        <v>1150</v>
      </c>
      <c r="F221" t="inlineStr">
        <is>
          <t>2023/24 TOPPS FINEST MASTERS STEPHEN CURRY ON CARD AUTO RED VAPOR 01/10  🦄</t>
        </is>
      </c>
      <c r="G221" s="2" t="n">
        <v>1395</v>
      </c>
      <c r="H221" t="n">
        <v>21</v>
      </c>
      <c r="I221" s="9" t="n"/>
      <c r="J221" s="2">
        <f>IF(I221&lt;&gt;"",I221,G221)</f>
        <v/>
      </c>
      <c r="K221" s="2">
        <f>E221-J221</f>
        <v/>
      </c>
      <c r="L221" s="4">
        <f>IF(J221&gt;0,K221/J221,"")</f>
        <v/>
      </c>
    </row>
    <row r="222">
      <c r="A222" t="n">
        <v>221</v>
      </c>
      <c r="B222" t="inlineStr">
        <is>
          <t>Goldin</t>
        </is>
      </c>
      <c r="C222" t="inlineStr">
        <is>
          <t>2022-23 Panini Noir Autographed Prime Black and White #ANB-LUD Luka Doncic Signed Card (#17/25) - Panini Encased</t>
        </is>
      </c>
      <c r="E222" s="2" t="n">
        <v>1150</v>
      </c>
      <c r="F222" t="inlineStr">
        <is>
          <t>2018 PANINI SPECTRA RISING STAR NEON PINK #17 LUKA DONCIC RC /25 BGS 8.5 AUTO 10</t>
        </is>
      </c>
      <c r="G222" s="2" t="n">
        <v>1875</v>
      </c>
      <c r="H222" t="n">
        <v>25</v>
      </c>
      <c r="I222" s="9" t="n"/>
      <c r="J222" s="2">
        <f>IF(I222&lt;&gt;"",I222,G222)</f>
        <v/>
      </c>
      <c r="K222" s="2">
        <f>E222-J222</f>
        <v/>
      </c>
      <c r="L222" s="4">
        <f>IF(J222&gt;0,K222/J222,"")</f>
        <v/>
      </c>
    </row>
    <row r="223">
      <c r="A223" t="n">
        <v>222</v>
      </c>
      <c r="B223" t="inlineStr">
        <is>
          <t>Goldin</t>
        </is>
      </c>
      <c r="C223" t="inlineStr">
        <is>
          <t xml:space="preserve">2024-25 Bowman's Best University Prospect Jumbo Relic Autographs Gold Geometric Refractor #PJRA-CF Cooper Flagg Signed Relic Rookie Card (#38/50) - BGS NM-MT+ 8.5, Beckett 10
</t>
        </is>
      </c>
      <c r="E223" s="2" t="n">
        <v>1150</v>
      </c>
      <c r="F223" t="inlineStr">
        <is>
          <t>2025 BOWMAN MEGA BOX CHROME PROSPECTS GOLD REFRACTOR #38 LUIS PENA 34/50 PSA 10</t>
        </is>
      </c>
      <c r="G223" s="2" t="n">
        <v>275</v>
      </c>
      <c r="H223" t="n">
        <v>21</v>
      </c>
      <c r="I223" s="9" t="n"/>
      <c r="J223" s="2">
        <f>IF(I223&lt;&gt;"",I223,G223)</f>
        <v/>
      </c>
      <c r="K223" s="2">
        <f>E223-J223</f>
        <v/>
      </c>
      <c r="L223" s="4">
        <f>IF(J223&gt;0,K223/J223,"")</f>
        <v/>
      </c>
    </row>
    <row r="224">
      <c r="A224" t="n">
        <v>223</v>
      </c>
      <c r="B224" t="inlineStr">
        <is>
          <t>Goldin</t>
        </is>
      </c>
      <c r="C224" t="inlineStr">
        <is>
          <t>2020-21 Panini National Treasures Rookie Private Signings Association #PSA-AED Anthony Edwards Signed Rookie Card - PSA MINT 9 - Pop 4</t>
        </is>
      </c>
      <c r="E224" s="2" t="n">
        <v>1150</v>
      </c>
      <c r="F224" t="inlineStr">
        <is>
          <t>Anthony Edwards 2020 Panini Select Red Rookie Jersey Auto RPA Mint 9 Low Pop</t>
        </is>
      </c>
      <c r="G224" s="2" t="n">
        <v>750</v>
      </c>
      <c r="H224" t="n">
        <v>17</v>
      </c>
      <c r="I224" s="9" t="n"/>
      <c r="J224" s="2">
        <f>IF(I224&lt;&gt;"",I224,G224)</f>
        <v/>
      </c>
      <c r="K224" s="2">
        <f>E224-J224</f>
        <v/>
      </c>
      <c r="L224" s="4">
        <f>IF(J224&gt;0,K224/J224,"")</f>
        <v/>
      </c>
    </row>
    <row r="225">
      <c r="A225" t="n">
        <v>224</v>
      </c>
      <c r="B225" t="inlineStr">
        <is>
          <t>Goldin</t>
        </is>
      </c>
      <c r="C225" t="inlineStr">
        <is>
          <t>2019-20 Panini One and One First-Team Signatures #FT-SCY Stephen Curry Signed Card (#08/25) - BGS MINT 9, Beckett 10 - Pop 3</t>
        </is>
      </c>
      <c r="E225" s="2" t="n">
        <v>1122.4</v>
      </c>
      <c r="F225" t="inlineStr">
        <is>
          <t>2019-20 Panini One And One Stephen Curry First Team Signatures Auto /25 BGS 9/10</t>
        </is>
      </c>
      <c r="G225" s="2" t="n">
        <v>1713.99</v>
      </c>
      <c r="H225" t="n">
        <v>22</v>
      </c>
      <c r="I225" s="9" t="n"/>
      <c r="J225" s="2">
        <f>IF(I225&lt;&gt;"",I225,G225)</f>
        <v/>
      </c>
      <c r="K225" s="2">
        <f>E225-J225</f>
        <v/>
      </c>
      <c r="L225" s="4">
        <f>IF(J225&gt;0,K225/J225,"")</f>
        <v/>
      </c>
    </row>
    <row r="226">
      <c r="A226" t="n">
        <v>225</v>
      </c>
      <c r="B226" t="inlineStr">
        <is>
          <t>Goldin</t>
        </is>
      </c>
      <c r="C226" t="inlineStr">
        <is>
          <t>2024-25 Topps Regalia Relic Signatures #RRS-SC Stephen Curry Signed Game-Used Patch Card (#03/15) - Topps Encased</t>
        </is>
      </c>
      <c r="E226" s="2" t="n">
        <v>1104</v>
      </c>
      <c r="F226" t="inlineStr">
        <is>
          <t>2024 Topps Now MLS Stephen Curry/Lionel Messi #128 Night PSA 10 GEM MT &amp;03228</t>
        </is>
      </c>
      <c r="G226" s="2" t="n">
        <v>185</v>
      </c>
      <c r="H226" t="n">
        <v>15</v>
      </c>
      <c r="I226" s="9" t="n"/>
      <c r="J226" s="2">
        <f>IF(I226&lt;&gt;"",I226,G226)</f>
        <v/>
      </c>
      <c r="K226" s="2">
        <f>E226-J226</f>
        <v/>
      </c>
      <c r="L226" s="4">
        <f>IF(J226&gt;0,K226/J226,"")</f>
        <v/>
      </c>
    </row>
    <row r="227">
      <c r="A227" t="n">
        <v>226</v>
      </c>
      <c r="B227" t="inlineStr">
        <is>
          <t>Goldin</t>
        </is>
      </c>
      <c r="C227" t="inlineStr">
        <is>
          <t>2020-21 Panini One and One Rookie Dual Jersey Autograph #RDJ-AED Anthony Edwards Signed Relic Rookie Card (#90/99) - PSA MINT 9, PSA/DNA GEM MT 10</t>
        </is>
      </c>
      <c r="E227" s="2" t="n">
        <v>1092.5</v>
      </c>
      <c r="F227" t="inlineStr">
        <is>
          <t>2020-21 One And One Anthony Edwards RC Dual Jersey Patch Auto RJA /99 PSA 9/10</t>
        </is>
      </c>
      <c r="G227" s="2" t="n">
        <v>1854</v>
      </c>
      <c r="H227" t="n">
        <v>20</v>
      </c>
      <c r="I227" s="9" t="n"/>
      <c r="J227" s="2">
        <f>IF(I227&lt;&gt;"",I227,G227)</f>
        <v/>
      </c>
      <c r="K227" s="2">
        <f>E227-J227</f>
        <v/>
      </c>
      <c r="L227" s="4">
        <f>IF(J227&gt;0,K227/J227,"")</f>
        <v/>
      </c>
    </row>
    <row r="228">
      <c r="A228" t="n">
        <v>227</v>
      </c>
      <c r="B228" t="inlineStr">
        <is>
          <t>Goldin</t>
        </is>
      </c>
      <c r="C228" t="inlineStr">
        <is>
          <t>1995-96 Upper Deck 23k Gold 50,000 Print Run Michael Jordan (#12516/50000) - PSA GEM MT 10</t>
        </is>
      </c>
      <c r="E228" s="2" t="n">
        <v>977.5</v>
      </c>
      <c r="F228" t="inlineStr">
        <is>
          <t>POP 12 PSA 10 Michael Jordan 1995 Upper Deck 23k Gold MJ 7% Gem Rate #'d WOW!</t>
        </is>
      </c>
      <c r="G228" s="2" t="n">
        <v>1750</v>
      </c>
      <c r="H228" t="n">
        <v>17</v>
      </c>
      <c r="I228" s="9" t="n"/>
      <c r="J228" s="2">
        <f>IF(I228&lt;&gt;"",I228,G228)</f>
        <v/>
      </c>
      <c r="K228" s="2">
        <f>E228-J228</f>
        <v/>
      </c>
      <c r="L228" s="4">
        <f>IF(J228&gt;0,K228/J228,"")</f>
        <v/>
      </c>
    </row>
    <row r="229">
      <c r="A229" t="n">
        <v>228</v>
      </c>
      <c r="B229" t="inlineStr">
        <is>
          <t>Goldin</t>
        </is>
      </c>
      <c r="C229" t="inlineStr">
        <is>
          <t>2020-21 Panini Contenders Optic Veteran Seasons Ticket Autograph Orange #VT-JTA Jayson Tatum Signed Card (#06/15) - PSA GEM MT 10, PSA/DNA GEM MT 10</t>
        </is>
      </c>
      <c r="E229" s="2" t="n">
        <v>874</v>
      </c>
      <c r="F229" t="inlineStr">
        <is>
          <t>2020-21 Contenders Optic Jayson Tatum Veteran Auto Orange /15 PSA 10 AUTO 10</t>
        </is>
      </c>
      <c r="G229" s="2" t="n">
        <v>933</v>
      </c>
      <c r="H229" t="n">
        <v>24</v>
      </c>
      <c r="I229" s="9" t="n"/>
      <c r="J229" s="2">
        <f>IF(I229&lt;&gt;"",I229,G229)</f>
        <v/>
      </c>
      <c r="K229" s="2">
        <f>E229-J229</f>
        <v/>
      </c>
      <c r="L229" s="4">
        <f>IF(J229&gt;0,K229/J229,"")</f>
        <v/>
      </c>
    </row>
    <row r="230">
      <c r="A230" t="n">
        <v>229</v>
      </c>
      <c r="B230" t="inlineStr">
        <is>
          <t>Goldin</t>
        </is>
      </c>
      <c r="C230" t="inlineStr">
        <is>
          <t>2022-23 Panini One And One Precision Rookie Jersey Autographs Ruby '25 Black Box #PRJ-PB5 Paolo Banchero Signed Patch Rookie Card (#1/1) - Panini Encased</t>
        </is>
      </c>
      <c r="E230" s="2" t="n">
        <v>868.25</v>
      </c>
      <c r="F230" t="inlineStr">
        <is>
          <t>PAOLO BANCHERO 2022-23 PANINI ONE &amp; ONE BLACK BX ROOKIE PATCH AUTO RPA RC 1/1</t>
        </is>
      </c>
      <c r="G230" s="2" t="n">
        <v>1698</v>
      </c>
      <c r="H230" t="n">
        <v>26</v>
      </c>
      <c r="I230" s="9" t="n"/>
      <c r="J230" s="2">
        <f>IF(I230&lt;&gt;"",I230,G230)</f>
        <v/>
      </c>
      <c r="K230" s="2">
        <f>E230-J230</f>
        <v/>
      </c>
      <c r="L230" s="4">
        <f>IF(J230&gt;0,K230/J230,"")</f>
        <v/>
      </c>
    </row>
    <row r="231">
      <c r="A231" t="n">
        <v>230</v>
      </c>
      <c r="B231" t="inlineStr">
        <is>
          <t>Goldin</t>
        </is>
      </c>
      <c r="C231" t="inlineStr">
        <is>
          <t>2021-22 Panini Donruss Optic Fast Break Signatures Gold #FB-AEW Anthony Edwards Signed Card (#04/10) - PSA MINT 9 - Pop 3</t>
        </is>
      </c>
      <c r="E231" s="2" t="n">
        <v>868.25</v>
      </c>
      <c r="F231" t="inlineStr">
        <is>
          <t>2021-2022 Optic ANTHONY EDWARDS Gold Fast Break Auto /10 PSA 9 Timberwolves</t>
        </is>
      </c>
      <c r="G231" s="2" t="n">
        <v>1050</v>
      </c>
      <c r="H231" t="n">
        <v>20</v>
      </c>
      <c r="I231" s="9" t="n"/>
      <c r="J231" s="2">
        <f>IF(I231&lt;&gt;"",I231,G231)</f>
        <v/>
      </c>
      <c r="K231" s="2">
        <f>E231-J231</f>
        <v/>
      </c>
      <c r="L231" s="4">
        <f>IF(J231&gt;0,K231/J231,"")</f>
        <v/>
      </c>
    </row>
    <row r="232">
      <c r="A232" t="n">
        <v>231</v>
      </c>
      <c r="B232" t="inlineStr">
        <is>
          <t>Goldin</t>
        </is>
      </c>
      <c r="C232" t="inlineStr">
        <is>
          <t xml:space="preserve">2022 Leaf Decadence Octet Autographs #O-03 Curry/Iverson/Johnson/Lillard/West/Frazier/Dantley/Erving Multi-Signed Card (#1/4) - Leaf Encased
</t>
        </is>
      </c>
      <c r="E232" s="2" t="n">
        <v>862.5</v>
      </c>
      <c r="F232" t="inlineStr">
        <is>
          <t>CURRY IVERSON MAGIC ERVING LILLARD WEST - 2022 Leaf Decadence OCTET 8 AUTO /4</t>
        </is>
      </c>
      <c r="G232" s="2" t="n">
        <v>880</v>
      </c>
      <c r="H232" t="n">
        <v>20</v>
      </c>
      <c r="I232" s="9" t="n"/>
      <c r="J232" s="2">
        <f>IF(I232&lt;&gt;"",I232,G232)</f>
        <v/>
      </c>
      <c r="K232" s="2">
        <f>E232-J232</f>
        <v/>
      </c>
      <c r="L232" s="4">
        <f>IF(J232&gt;0,K232/J232,"")</f>
        <v/>
      </c>
    </row>
    <row r="233">
      <c r="A233" t="n">
        <v>232</v>
      </c>
      <c r="B233" t="inlineStr">
        <is>
          <t>Goldin</t>
        </is>
      </c>
      <c r="C233" t="inlineStr">
        <is>
          <t>2024-25 Panini One and One Logoman #LM-CDY Cody Williams Logoman Patch Rookie Card (#2/5) - Panini Encased</t>
        </is>
      </c>
      <c r="E233" s="2" t="n">
        <v>833.75</v>
      </c>
      <c r="F233" t="inlineStr">
        <is>
          <t>2024-25 Panini One And One Cody Williams Logoman Patch Jersey RC Rookie Jazz /5</t>
        </is>
      </c>
      <c r="G233" s="2" t="n">
        <v>810.87</v>
      </c>
      <c r="H233" t="n">
        <v>26</v>
      </c>
      <c r="I233" s="9" t="n"/>
      <c r="J233" s="2">
        <f>IF(I233&lt;&gt;"",I233,G233)</f>
        <v/>
      </c>
      <c r="K233" s="2">
        <f>E233-J233</f>
        <v/>
      </c>
      <c r="L233" s="4">
        <f>IF(J233&gt;0,K233/J233,"")</f>
        <v/>
      </c>
    </row>
    <row r="234">
      <c r="A234" t="n">
        <v>233</v>
      </c>
      <c r="B234" t="inlineStr">
        <is>
          <t>Goldin</t>
        </is>
      </c>
      <c r="C234" t="inlineStr">
        <is>
          <t>2023-24 Bowman Chrome U 2007-08 Bowman Gold #07B-22 Caitlin Clark Rookie Card (#32/50) - PSA GEM MT 10</t>
        </is>
      </c>
      <c r="E234" s="2" t="n">
        <v>829.15</v>
      </c>
      <c r="F234" t="inlineStr">
        <is>
          <t>2023 BOWMAN UNIVERSITY CHROME 2007-08 BOWMAN #07B22 CAITLIN CLARK 32/50 PSA 10</t>
        </is>
      </c>
      <c r="G234" s="2" t="n">
        <v>811</v>
      </c>
      <c r="H234" t="n">
        <v>30</v>
      </c>
      <c r="I234" s="9" t="n"/>
      <c r="J234" s="2">
        <f>IF(I234&lt;&gt;"",I234,G234)</f>
        <v/>
      </c>
      <c r="K234" s="2">
        <f>E234-J234</f>
        <v/>
      </c>
      <c r="L234" s="4">
        <f>IF(J234&gt;0,K234/J234,"")</f>
        <v/>
      </c>
    </row>
    <row r="235">
      <c r="A235" t="n">
        <v>234</v>
      </c>
      <c r="B235" t="inlineStr">
        <is>
          <t>Goldin</t>
        </is>
      </c>
      <c r="C235" t="inlineStr">
        <is>
          <t>2017-18 Panini Noir Rookie Patch Autograph (RPA) Black and White #303 Jayson Tatum Signed Patch Rookie Card (#05/99) - Panini Encased</t>
        </is>
      </c>
      <c r="E235" s="2" t="n">
        <v>805</v>
      </c>
      <c r="F235" t="inlineStr">
        <is>
          <t>2017-18 Panini Noir Jayson Tatum RC Patch Auto Black &amp; White /99 RPA</t>
        </is>
      </c>
      <c r="G235" s="2" t="n">
        <v>831</v>
      </c>
      <c r="H235" t="n">
        <v>26</v>
      </c>
      <c r="I235" s="9" t="n"/>
      <c r="J235" s="2">
        <f>IF(I235&lt;&gt;"",I235,G235)</f>
        <v/>
      </c>
      <c r="K235" s="2">
        <f>E235-J235</f>
        <v/>
      </c>
      <c r="L235" s="4">
        <f>IF(J235&gt;0,K235/J235,"")</f>
        <v/>
      </c>
    </row>
    <row r="236">
      <c r="A236" t="n">
        <v>235</v>
      </c>
      <c r="B236" t="inlineStr">
        <is>
          <t>Goldin</t>
        </is>
      </c>
      <c r="C236" t="inlineStr">
        <is>
          <t>2017-18 Panini Flawless Momentous Autographs Gold #MA-GA Giannis Antetokounmpo Signed Card (#04/10) - Panini Encased</t>
        </is>
      </c>
      <c r="E236" s="2" t="n">
        <v>776.25</v>
      </c>
      <c r="F236" t="inlineStr">
        <is>
          <t>2017-18 Panini Flawless Giannis Antetokounmpo Momentous Auto Gold /10</t>
        </is>
      </c>
      <c r="G236" s="2" t="n">
        <v>1125</v>
      </c>
      <c r="H236" t="n">
        <v>26</v>
      </c>
      <c r="I236" s="9" t="n"/>
      <c r="J236" s="2">
        <f>IF(I236&lt;&gt;"",I236,G236)</f>
        <v/>
      </c>
      <c r="K236" s="2">
        <f>E236-J236</f>
        <v/>
      </c>
      <c r="L236" s="4">
        <f>IF(J236&gt;0,K236/J236,"")</f>
        <v/>
      </c>
    </row>
    <row r="237">
      <c r="A237" t="n">
        <v>236</v>
      </c>
      <c r="B237" t="inlineStr">
        <is>
          <t>Goldin</t>
        </is>
      </c>
      <c r="C237" t="inlineStr">
        <is>
          <t>2017-18 Panini Flawless Premium Ink Signatures #PI-GA Giannis Antetokounmpo Signed Card (#12/25) - BGS GEM MINT 9.5, Beckett 10</t>
        </is>
      </c>
      <c r="E237" s="2" t="n">
        <v>776.25</v>
      </c>
      <c r="F237" t="inlineStr">
        <is>
          <t>Giannis Antetokounmpo 2017 Panini Flawless Premium Ink Auto 12/25 BGS 9.5/10</t>
        </is>
      </c>
      <c r="G237" s="2" t="n">
        <v>1357</v>
      </c>
      <c r="H237" t="n">
        <v>24</v>
      </c>
      <c r="I237" s="9" t="n"/>
      <c r="J237" s="2">
        <f>IF(I237&lt;&gt;"",I237,G237)</f>
        <v/>
      </c>
      <c r="K237" s="2">
        <f>E237-J237</f>
        <v/>
      </c>
      <c r="L237" s="4">
        <f>IF(J237&gt;0,K237/J237,"")</f>
        <v/>
      </c>
    </row>
    <row r="238">
      <c r="A238" t="n">
        <v>237</v>
      </c>
      <c r="B238" t="inlineStr">
        <is>
          <t>Goldin</t>
        </is>
      </c>
      <c r="C238" t="inlineStr">
        <is>
          <t>2022-23 Panini Flawless Excellence Signatures '25 Black Box #ES-CHG Chet Holmgren Signed Rookie Card (#1/1) - Panini Encased</t>
        </is>
      </c>
      <c r="E238" s="2" t="n">
        <v>776.25</v>
      </c>
      <c r="F238" t="inlineStr">
        <is>
          <t>Chet Holmgren 2022-23 Panini Flawless Gold Rookie Auto RC Card Black Box 1/1</t>
        </is>
      </c>
      <c r="G238" s="2" t="n">
        <v>1551</v>
      </c>
      <c r="H238" t="n">
        <v>24</v>
      </c>
      <c r="I238" s="9" t="n"/>
      <c r="J238" s="2">
        <f>IF(I238&lt;&gt;"",I238,G238)</f>
        <v/>
      </c>
      <c r="K238" s="2">
        <f>E238-J238</f>
        <v/>
      </c>
      <c r="L238" s="4">
        <f>IF(J238&gt;0,K238/J238,"")</f>
        <v/>
      </c>
    </row>
    <row r="239">
      <c r="A239" t="n">
        <v>238</v>
      </c>
      <c r="B239" t="inlineStr">
        <is>
          <t>Goldin</t>
        </is>
      </c>
      <c r="C239" t="inlineStr">
        <is>
          <t>2025-26 Topps All Kings #AK-4 Giannis Antetokounmpo - PSA MINT 9</t>
        </is>
      </c>
      <c r="E239" s="2" t="n">
        <v>707.25</v>
      </c>
      <c r="F239" t="inlineStr">
        <is>
          <t>2025-26 Topps Chrome Giannis Antetokounmpo Activators GOLD REFRACTOR 49/50</t>
        </is>
      </c>
      <c r="G239" s="2" t="n">
        <v>36</v>
      </c>
      <c r="H239" t="n">
        <v>15</v>
      </c>
      <c r="I239" s="9" t="n"/>
      <c r="J239" s="2">
        <f>IF(I239&lt;&gt;"",I239,G239)</f>
        <v/>
      </c>
      <c r="K239" s="2">
        <f>E239-J239</f>
        <v/>
      </c>
      <c r="L239" s="4">
        <f>IF(J239&gt;0,K239/J239,"")</f>
        <v/>
      </c>
    </row>
    <row r="240">
      <c r="A240" t="n">
        <v>239</v>
      </c>
      <c r="B240" t="inlineStr">
        <is>
          <t>Goldin</t>
        </is>
      </c>
      <c r="C240" t="inlineStr">
        <is>
          <t xml:space="preserve">2023-24 Topps Chrome Sapphire Autograph Red Refractor #CG-TM Tyrese Maxey Signed Card (#5/5) - PSA GEM MT 10 - Pop 1 </t>
        </is>
      </c>
      <c r="E240" s="2" t="n">
        <v>633.65</v>
      </c>
      <c r="F240" t="inlineStr">
        <is>
          <t>2023 TOPPS CHROME SAPPHIRE ED TOPPS CHROME AUTOS RED TYRESE MAXEY 5/5 PSA 10</t>
        </is>
      </c>
      <c r="G240" s="2" t="n">
        <v>260</v>
      </c>
      <c r="H240" t="n">
        <v>26</v>
      </c>
      <c r="I240" s="9" t="n"/>
      <c r="J240" s="2">
        <f>IF(I240&lt;&gt;"",I240,G240)</f>
        <v/>
      </c>
      <c r="K240" s="2">
        <f>E240-J240</f>
        <v/>
      </c>
      <c r="L240" s="4">
        <f>IF(J240&gt;0,K240/J240,"")</f>
        <v/>
      </c>
    </row>
    <row r="241">
      <c r="A241" t="n">
        <v>240</v>
      </c>
      <c r="B241" t="inlineStr">
        <is>
          <t>Goldin</t>
        </is>
      </c>
      <c r="C241" t="inlineStr">
        <is>
          <t>2023-24 Panini Immaculate Collection Immaculate Legends #ILE-YM Yao Ming Signed Card (#31/49) - Panini Encased</t>
        </is>
      </c>
      <c r="E241" s="2" t="n">
        <v>575</v>
      </c>
      <c r="F241" t="inlineStr">
        <is>
          <t>2023-24 Panini Immaculate Legends Yao Ming On Card Auto /49 Houston Rockets HOF</t>
        </is>
      </c>
      <c r="G241" s="2" t="n">
        <v>436.5</v>
      </c>
      <c r="H241" t="n">
        <v>20</v>
      </c>
      <c r="I241" s="9" t="n"/>
      <c r="J241" s="2">
        <f>IF(I241&lt;&gt;"",I241,G241)</f>
        <v/>
      </c>
      <c r="K241" s="2">
        <f>E241-J241</f>
        <v/>
      </c>
      <c r="L241" s="4">
        <f>IF(J241&gt;0,K241/J241,"")</f>
        <v/>
      </c>
    </row>
    <row r="242">
      <c r="A242" t="n">
        <v>241</v>
      </c>
      <c r="B242" t="inlineStr">
        <is>
          <t>Goldin</t>
        </is>
      </c>
      <c r="C242" t="inlineStr">
        <is>
          <t>2019-20 Panini Opulence City of Gold Signatures Gold #CG-NJ Nikola Jokic Signed Card (#10/25) - Panini Encased</t>
        </is>
      </c>
      <c r="E242" s="2" t="n">
        <v>575</v>
      </c>
      <c r="F242" t="inlineStr">
        <is>
          <t>2019-20 Nikola Jokic Opulence City Of Gold On Card Auto /25 Sealed SSP Ebay 1/1</t>
        </is>
      </c>
      <c r="G242" s="2" t="n">
        <v>600</v>
      </c>
      <c r="H242" t="n">
        <v>18</v>
      </c>
      <c r="I242" s="9" t="n"/>
      <c r="J242" s="2">
        <f>IF(I242&lt;&gt;"",I242,G242)</f>
        <v/>
      </c>
      <c r="K242" s="2">
        <f>E242-J242</f>
        <v/>
      </c>
      <c r="L242" s="4">
        <f>IF(J242&gt;0,K242/J242,"")</f>
        <v/>
      </c>
    </row>
    <row r="243">
      <c r="A243" t="n">
        <v>242</v>
      </c>
      <c r="B243" t="inlineStr">
        <is>
          <t>Goldin</t>
        </is>
      </c>
      <c r="C243" t="inlineStr">
        <is>
          <t>2011-2012 Upper Deck Exquisite Collection Personal Touch #PTC-VC Vince Carter Signed Card (#01/30) - BGS MINT 9, Beckett 10</t>
        </is>
      </c>
      <c r="E243" s="2" t="n">
        <v>575</v>
      </c>
      <c r="F243" t="inlineStr">
        <is>
          <t>2011-12 UD Exquisite Collection VINCE CARTER Auto #01/30 BGS 9 Personal Touch</t>
        </is>
      </c>
      <c r="G243" s="2" t="n">
        <v>275</v>
      </c>
      <c r="H243" t="n">
        <v>28</v>
      </c>
      <c r="I243" s="9" t="n"/>
      <c r="J243" s="2">
        <f>IF(I243&lt;&gt;"",I243,G243)</f>
        <v/>
      </c>
      <c r="K243" s="2">
        <f>E243-J243</f>
        <v/>
      </c>
      <c r="L243" s="4">
        <f>IF(J243&gt;0,K243/J243,"")</f>
        <v/>
      </c>
    </row>
    <row r="244">
      <c r="A244" t="n">
        <v>243</v>
      </c>
      <c r="B244" t="inlineStr">
        <is>
          <t>Goldin</t>
        </is>
      </c>
      <c r="C244" t="inlineStr">
        <is>
          <t>2025 Topps Chrome Black Autograph Gold Refractor #CBA-PS Paul Skenes Signed Card (#05/50) - PSA NM-MT+ 8.5, PSA/DNA GEM MT 10</t>
        </is>
      </c>
      <c r="E244" s="2" t="n">
        <v>517.5</v>
      </c>
      <c r="F244" t="inlineStr">
        <is>
          <t>Paul Skenes 2025 Topps Chrome Black #PS Auto Gold Refractor 05/50</t>
        </is>
      </c>
      <c r="G244" s="2" t="n">
        <v>420</v>
      </c>
      <c r="H244" t="n">
        <v>28</v>
      </c>
      <c r="I244" s="9" t="n"/>
      <c r="J244" s="2">
        <f>IF(I244&lt;&gt;"",I244,G244)</f>
        <v/>
      </c>
      <c r="K244" s="2">
        <f>E244-J244</f>
        <v/>
      </c>
      <c r="L244" s="4">
        <f>IF(J244&gt;0,K244/J244,"")</f>
        <v/>
      </c>
    </row>
    <row r="245">
      <c r="A245" t="n">
        <v>244</v>
      </c>
      <c r="B245" t="inlineStr">
        <is>
          <t>Goldin</t>
        </is>
      </c>
      <c r="C245" t="inlineStr">
        <is>
          <t>2019-20 Panini One and One First-Team Signatures Blue #FT-FJK Nikola Jokic Signed Card (#08/49) - Panini Encased</t>
        </is>
      </c>
      <c r="E245" s="2" t="n">
        <v>517.5</v>
      </c>
      <c r="F245" t="inlineStr">
        <is>
          <t>2019-20 Panini One And One Nikola Jokic #FT-NJK First Team Signatures Auto /49</t>
        </is>
      </c>
      <c r="G245" s="2" t="n">
        <v>369</v>
      </c>
      <c r="H245" t="n">
        <v>22</v>
      </c>
      <c r="I245" s="9" t="n"/>
      <c r="J245" s="2">
        <f>IF(I245&lt;&gt;"",I245,G245)</f>
        <v/>
      </c>
      <c r="K245" s="2">
        <f>E245-J245</f>
        <v/>
      </c>
      <c r="L245" s="4">
        <f>IF(J245&gt;0,K245/J245,"")</f>
        <v/>
      </c>
    </row>
    <row r="246">
      <c r="A246" t="n">
        <v>245</v>
      </c>
      <c r="B246" t="inlineStr">
        <is>
          <t>Goldin</t>
        </is>
      </c>
      <c r="C246" t="inlineStr">
        <is>
          <t>2021-22 Panini Chronicles Hometown Heroes Gold #HHR-CCU Cade Cunningham Signed Rookie Card (#01/10) - Panini Encased</t>
        </is>
      </c>
      <c r="E246" s="2" t="n">
        <v>494.5</v>
      </c>
      <c r="F246" t="inlineStr">
        <is>
          <t>2021-22 Panini Hometown Heroes Cade Cunningham Rookie Auto Gold 1/10! Sealed!</t>
        </is>
      </c>
      <c r="G246" s="2" t="n">
        <v>425</v>
      </c>
      <c r="H246" t="n">
        <v>22</v>
      </c>
      <c r="I246" s="9" t="n"/>
      <c r="J246" s="2">
        <f>IF(I246&lt;&gt;"",I246,G246)</f>
        <v/>
      </c>
      <c r="K246" s="2">
        <f>E246-J246</f>
        <v/>
      </c>
      <c r="L246" s="4">
        <f>IF(J246&gt;0,K246/J246,"")</f>
        <v/>
      </c>
    </row>
    <row r="247">
      <c r="A247" t="n">
        <v>246</v>
      </c>
      <c r="B247" t="inlineStr">
        <is>
          <t>Goldin</t>
        </is>
      </c>
      <c r="C247" t="inlineStr">
        <is>
          <t>2023 Topps NPB Chrome Topps 2001 Orange Refractor #01-1 Yoshinobu Yamamoto (#01/25) - PSA MINT 9</t>
        </is>
      </c>
      <c r="E247" s="2" t="n">
        <v>488.75</v>
      </c>
      <c r="F247" t="inlineStr">
        <is>
          <t>2023 Yoshinobu Yamamoto 1/25 Topps NPB Chrome Orange Refractor #O1-1 PSA9 MINT</t>
        </is>
      </c>
      <c r="G247" s="2" t="n">
        <v>552.49</v>
      </c>
      <c r="H247" t="n">
        <v>24</v>
      </c>
      <c r="I247" s="9" t="n"/>
      <c r="J247" s="2">
        <f>IF(I247&lt;&gt;"",I247,G247)</f>
        <v/>
      </c>
      <c r="K247" s="2">
        <f>E247-J247</f>
        <v/>
      </c>
      <c r="L247" s="4">
        <f>IF(J247&gt;0,K247/J247,"")</f>
        <v/>
      </c>
    </row>
    <row r="248">
      <c r="A248" t="n">
        <v>247</v>
      </c>
      <c r="B248" t="inlineStr">
        <is>
          <t>Goldin</t>
        </is>
      </c>
      <c r="C248" t="inlineStr">
        <is>
          <t>2025-26 Topps Chrome Rock Stars #RS-17 Dylan Harper Rookie Card - PSA GEM MT 10</t>
        </is>
      </c>
      <c r="E248" s="2" t="n">
        <v>485.3</v>
      </c>
      <c r="F248" t="inlineStr">
        <is>
          <t>2025-26 Topps Chrome - Autograph Issue Rookies Dylan Harper #TAUR2-DH (AU, RC)</t>
        </is>
      </c>
      <c r="G248" s="2" t="n">
        <v>275</v>
      </c>
      <c r="H248" t="n">
        <v>19</v>
      </c>
      <c r="I248" s="9" t="n"/>
      <c r="J248" s="2">
        <f>IF(I248&lt;&gt;"",I248,G248)</f>
        <v/>
      </c>
      <c r="K248" s="2">
        <f>E248-J248</f>
        <v/>
      </c>
      <c r="L248" s="4">
        <f>IF(J248&gt;0,K248/J248,"")</f>
        <v/>
      </c>
    </row>
    <row r="249">
      <c r="A249" t="n">
        <v>248</v>
      </c>
      <c r="B249" t="inlineStr">
        <is>
          <t>Goldin</t>
        </is>
      </c>
      <c r="C249" t="inlineStr">
        <is>
          <t>2019-20 Panini Prizm Sensational Swatches Prizms Orange Ice #SS-SCU Stephen Curry Signed Relic Card - BGS Authentic Sticker Autograph</t>
        </is>
      </c>
      <c r="E249" s="2" t="n">
        <v>485.3</v>
      </c>
      <c r="F249" t="inlineStr">
        <is>
          <t>Stephen Curry 2019 Panini National #52 Galactic Windows /5 SSP PSA 10 GEM MINT</t>
        </is>
      </c>
      <c r="G249" s="2" t="n">
        <v>625</v>
      </c>
      <c r="H249" t="n">
        <v>15</v>
      </c>
      <c r="I249" s="9" t="n"/>
      <c r="J249" s="2">
        <f>IF(I249&lt;&gt;"",I249,G249)</f>
        <v/>
      </c>
      <c r="K249" s="2">
        <f>E249-J249</f>
        <v/>
      </c>
      <c r="L249" s="4">
        <f>IF(J249&gt;0,K249/J249,"")</f>
        <v/>
      </c>
    </row>
    <row r="250">
      <c r="A250" t="n">
        <v>249</v>
      </c>
      <c r="B250" t="inlineStr">
        <is>
          <t>Goldin</t>
        </is>
      </c>
      <c r="C250" t="inlineStr">
        <is>
          <t>2009-10 Upper Deck SP Game Used 3 Star Swatches #3S-BMJ Kobe Bryant/LeBron James/Oscar Robertson Relic Card (#182/299) - BGS NM-MT 8</t>
        </is>
      </c>
      <c r="E250" s="2" t="n">
        <v>440.45</v>
      </c>
      <c r="F250" t="inlineStr">
        <is>
          <t>KOBE BRYANT LEBRON JAMES 2009-10 UD SP GAME USED 3 STAR PATCH /299 BGS 8 Q0034</t>
        </is>
      </c>
      <c r="G250" s="2" t="n">
        <v>300</v>
      </c>
      <c r="H250" t="n">
        <v>18</v>
      </c>
      <c r="I250" s="9" t="n"/>
      <c r="J250" s="2">
        <f>IF(I250&lt;&gt;"",I250,G250)</f>
        <v/>
      </c>
      <c r="K250" s="2">
        <f>E250-J250</f>
        <v/>
      </c>
      <c r="L250" s="4">
        <f>IF(J250&gt;0,K250/J250,"")</f>
        <v/>
      </c>
    </row>
    <row r="251">
      <c r="A251" t="n">
        <v>250</v>
      </c>
      <c r="B251" t="inlineStr">
        <is>
          <t>Goldin</t>
        </is>
      </c>
      <c r="C251" t="inlineStr">
        <is>
          <t>2025 Topps Five Star Pentamerous Penmanship #PP-RS Roki Sasaki Signed Rookie Card (#20/25) - Topps Encased</t>
        </is>
      </c>
      <c r="E251" s="2" t="n">
        <v>379.5</v>
      </c>
      <c r="F251" t="inlineStr">
        <is>
          <t>2025 Topps Five Star Roki Sasaki Pentamerous Penmanship /25 Dodgers</t>
        </is>
      </c>
      <c r="G251" s="2" t="n">
        <v>600</v>
      </c>
      <c r="H251" t="n">
        <v>20</v>
      </c>
      <c r="I251" s="9" t="n"/>
      <c r="J251" s="2">
        <f>IF(I251&lt;&gt;"",I251,G251)</f>
        <v/>
      </c>
      <c r="K251" s="2">
        <f>E251-J251</f>
        <v/>
      </c>
      <c r="L251" s="4">
        <f>IF(J251&gt;0,K251/J251,"")</f>
        <v/>
      </c>
    </row>
    <row r="252">
      <c r="A252" t="n">
        <v>251</v>
      </c>
      <c r="B252" t="inlineStr">
        <is>
          <t>Goldin</t>
        </is>
      </c>
      <c r="C252" t="inlineStr">
        <is>
          <t>2024-25 Panini Instant NIL Autographs #VJED-1 VJ Edgecombe Signed Rookie Card (#08/99) - Panini Encased</t>
        </is>
      </c>
      <c r="E252" s="2" t="n">
        <v>373.75</v>
      </c>
      <c r="F252" t="inlineStr">
        <is>
          <t>2024-25 Panini Instant NCAA NIL VJ Edgecombe Rookie RC Card Silver Auto SP 8/99</t>
        </is>
      </c>
      <c r="G252" s="2" t="n">
        <v>699.99</v>
      </c>
      <c r="H252" t="n">
        <v>22</v>
      </c>
      <c r="I252" s="9" t="n"/>
      <c r="J252" s="2">
        <f>IF(I252&lt;&gt;"",I252,G252)</f>
        <v/>
      </c>
      <c r="K252" s="2">
        <f>E252-J252</f>
        <v/>
      </c>
      <c r="L252" s="4">
        <f>IF(J252&gt;0,K252/J252,"")</f>
        <v/>
      </c>
    </row>
    <row r="253">
      <c r="A253" t="n">
        <v>252</v>
      </c>
      <c r="B253" t="inlineStr">
        <is>
          <t>Goldin</t>
        </is>
      </c>
      <c r="C253" t="inlineStr">
        <is>
          <t>1996-97 Upper Deck Michael Jordan Greater Heights #GH6 Michael Jordan - BGS GEM MINT 9.5</t>
        </is>
      </c>
      <c r="E253" s="2" t="n">
        <v>316.25</v>
      </c>
      <c r="F253" t="inlineStr">
        <is>
          <t>MICHAEL JORDAN 1996 UPPER DECK GREATER HEIGHTS W/SHAQ BGS 9.5 GEM ULTRA RARE</t>
        </is>
      </c>
      <c r="G253" s="2" t="n">
        <v>259</v>
      </c>
      <c r="H253" t="n">
        <v>15</v>
      </c>
      <c r="I253" s="9" t="n"/>
      <c r="J253" s="2">
        <f>IF(I253&lt;&gt;"",I253,G253)</f>
        <v/>
      </c>
      <c r="K253" s="2">
        <f>E253-J253</f>
        <v/>
      </c>
      <c r="L253" s="4">
        <f>IF(J253&gt;0,K253/J253,"")</f>
        <v/>
      </c>
    </row>
    <row r="254">
      <c r="A254" t="n">
        <v>253</v>
      </c>
      <c r="B254" t="inlineStr">
        <is>
          <t>Goldin</t>
        </is>
      </c>
      <c r="C254" t="inlineStr">
        <is>
          <t>2024-25 Panini NSCC VIP Gold Color Blast #EH Erling Haaland (#16/44) - PSA MINT 9</t>
        </is>
      </c>
      <c r="E254" s="2" t="n">
        <v>293.25</v>
      </c>
      <c r="F254" t="inlineStr">
        <is>
          <t>2024 Panini National VIP Gold ERLING HAALAND Color Blast /44 PSA 9 Norway</t>
        </is>
      </c>
      <c r="G254" s="2" t="n">
        <v>475</v>
      </c>
      <c r="H254" t="n">
        <v>22</v>
      </c>
      <c r="I254" s="9" t="n"/>
      <c r="J254" s="2">
        <f>IF(I254&lt;&gt;"",I254,G254)</f>
        <v/>
      </c>
      <c r="K254" s="2">
        <f>E254-J254</f>
        <v/>
      </c>
      <c r="L254" s="4">
        <f>IF(J254&gt;0,K254/J254,"")</f>
        <v/>
      </c>
    </row>
    <row r="255">
      <c r="A255" t="n">
        <v>254</v>
      </c>
      <c r="B255" t="inlineStr">
        <is>
          <t>Goldin</t>
        </is>
      </c>
      <c r="C255" t="inlineStr">
        <is>
          <t>2014-15 Panini Flawless Association Autographs Gold #AA-JE Julius Erving Signed Card (#03/10) - BGS NM-MT 8</t>
        </is>
      </c>
      <c r="E255" s="2" t="n">
        <v>292.1</v>
      </c>
      <c r="F255" t="inlineStr">
        <is>
          <t>JULIUS ERVING 2025 PANINI VIP #17 GOLD MEMORABILIA 02/10</t>
        </is>
      </c>
      <c r="G255" s="2" t="n">
        <v>225</v>
      </c>
      <c r="H255" t="n">
        <v>15</v>
      </c>
      <c r="I255" s="9" t="n"/>
      <c r="J255" s="2">
        <f>IF(I255&lt;&gt;"",I255,G255)</f>
        <v/>
      </c>
      <c r="K255" s="2">
        <f>E255-J255</f>
        <v/>
      </c>
      <c r="L255" s="4">
        <f>IF(J255&gt;0,K255/J255,"")</f>
        <v/>
      </c>
    </row>
    <row r="256">
      <c r="A256" t="n">
        <v>255</v>
      </c>
      <c r="B256" t="inlineStr">
        <is>
          <t>Goldin</t>
        </is>
      </c>
      <c r="C256" t="inlineStr">
        <is>
          <t>2019-20 Panini Immaculate Collection Shadowbox Signatures '25 Black Box #SS-VCT Vince Carter Signed Card (#1/1) - Panini Encased</t>
        </is>
      </c>
      <c r="E256" s="2" t="n">
        <v>281.75</v>
      </c>
      <c r="F256" t="inlineStr">
        <is>
          <t>2019-20 Panini Immaculate Vince Carter Black Box 1/1 Auto</t>
        </is>
      </c>
      <c r="G256" s="2" t="n">
        <v>699</v>
      </c>
      <c r="H256" t="n">
        <v>22</v>
      </c>
      <c r="I256" s="9" t="n"/>
      <c r="J256" s="2">
        <f>IF(I256&lt;&gt;"",I256,G256)</f>
        <v/>
      </c>
      <c r="K256" s="2">
        <f>E256-J256</f>
        <v/>
      </c>
      <c r="L256" s="4">
        <f>IF(J256&gt;0,K256/J256,"")</f>
        <v/>
      </c>
    </row>
    <row r="257">
      <c r="A257" t="n">
        <v>256</v>
      </c>
      <c r="B257" t="inlineStr">
        <is>
          <t>Goldin</t>
        </is>
      </c>
      <c r="C257" t="inlineStr">
        <is>
          <t>2024-25 Panini Flawless Vault Memorabilia #FVM-KAT Karl-Anthony Towns Patch Card (#12/25) - PSA NM-MT 8</t>
        </is>
      </c>
      <c r="E257" s="2" t="n">
        <v>247.25</v>
      </c>
      <c r="F257" t="inlineStr">
        <is>
          <t>2024-25 Flawless Karl - Anthony Towns NIKE SWOOSH /25</t>
        </is>
      </c>
      <c r="G257" s="2" t="n">
        <v>342</v>
      </c>
      <c r="H257" t="n">
        <v>18</v>
      </c>
      <c r="I257" s="9" t="n"/>
      <c r="J257" s="2">
        <f>IF(I257&lt;&gt;"",I257,G257)</f>
        <v/>
      </c>
      <c r="K257" s="2">
        <f>E257-J257</f>
        <v/>
      </c>
      <c r="L257" s="4">
        <f>IF(J257&gt;0,K257/J257,"")</f>
        <v/>
      </c>
    </row>
    <row r="258">
      <c r="A258" t="n">
        <v>257</v>
      </c>
      <c r="B258" t="inlineStr">
        <is>
          <t>Goldin</t>
        </is>
      </c>
      <c r="C258" t="inlineStr">
        <is>
          <t>2013-14 Upper Deck All-Time Greats Signatures #ATG-J02 Magic Johnson Signed Card (#16/50) - BGS GEM MINT 9.5</t>
        </is>
      </c>
      <c r="E258" s="2" t="n">
        <v>235.75</v>
      </c>
      <c r="F258" t="inlineStr">
        <is>
          <t>Magic Johnson - 2013 Upper Deck All Time Greats Signatures 16/50 BGS 9.5/10 Auto</t>
        </is>
      </c>
      <c r="G258" s="2" t="n">
        <v>475</v>
      </c>
      <c r="H258" t="n">
        <v>20</v>
      </c>
      <c r="I258" s="9" t="n"/>
      <c r="J258" s="2">
        <f>IF(I258&lt;&gt;"",I258,G258)</f>
        <v/>
      </c>
      <c r="K258" s="2">
        <f>E258-J258</f>
        <v/>
      </c>
      <c r="L258" s="4">
        <f>IF(J258&gt;0,K258/J258,"")</f>
        <v/>
      </c>
    </row>
    <row r="259">
      <c r="A259" t="n">
        <v>258</v>
      </c>
      <c r="B259" t="inlineStr">
        <is>
          <t>Goldin</t>
        </is>
      </c>
      <c r="C259" t="inlineStr">
        <is>
          <t>2020-21 Panini Donruss Optic Signature Series #SS-LBL LaMelo Ball Signed Rookie Card - PSA Authentic, PSA/DNA GEM MT 10</t>
        </is>
      </c>
      <c r="E259" s="2" t="n">
        <v>195.5</v>
      </c>
      <c r="F259" t="inlineStr">
        <is>
          <t>5300 LaMelo Ball 2020 Panini Donruss Optic Signature Series RC PSA AUTH Auto 10</t>
        </is>
      </c>
      <c r="G259" s="2" t="n">
        <v>338</v>
      </c>
      <c r="H259" t="n">
        <v>24</v>
      </c>
      <c r="I259" s="9" t="n"/>
      <c r="J259" s="2">
        <f>IF(I259&lt;&gt;"",I259,G259)</f>
        <v/>
      </c>
      <c r="K259" s="2">
        <f>E259-J259</f>
        <v/>
      </c>
      <c r="L259" s="4">
        <f>IF(J259&gt;0,K259/J259,"")</f>
        <v/>
      </c>
    </row>
    <row r="260">
      <c r="A260" t="n">
        <v>259</v>
      </c>
      <c r="B260" t="inlineStr">
        <is>
          <t>Goldin</t>
        </is>
      </c>
      <c r="C260" t="inlineStr">
        <is>
          <t>2022-23 Panini Recon Rookie Recon Signatures Purple #RRS-PBC Paolo Banchero Signed Rookie Card (#12/25) - PSA NM-MT 8, PSA/DNA GEM MT 10</t>
        </is>
      </c>
      <c r="E260" s="2" t="n">
        <v>149.5</v>
      </c>
      <c r="F260" t="inlineStr">
        <is>
          <t>2024-25 Panini Obsidian Paolo Banchero #12  Vitreous SSP CASE HIT Grade It🔥🔥sp</t>
        </is>
      </c>
      <c r="G260" s="2" t="n">
        <v>50</v>
      </c>
      <c r="H260" t="n">
        <v>20</v>
      </c>
      <c r="I260" s="9" t="n"/>
      <c r="J260" s="2">
        <f>IF(I260&lt;&gt;"",I260,G260)</f>
        <v/>
      </c>
      <c r="K260" s="2">
        <f>E260-J260</f>
        <v/>
      </c>
      <c r="L260" s="4">
        <f>IF(J260&gt;0,K260/J260,"")</f>
        <v/>
      </c>
    </row>
    <row r="261">
      <c r="A261" t="n">
        <v>260</v>
      </c>
      <c r="B261" t="inlineStr">
        <is>
          <t>Goldin</t>
        </is>
      </c>
      <c r="C261" t="inlineStr">
        <is>
          <t>2025-26 Topps Rise To Stardom Black Rainbow #RTS-3 VJ Edgecombe Rookie Card (#01/10) - PSA NM-MT 8</t>
        </is>
      </c>
      <c r="E261" s="2" t="n">
        <v>149.5</v>
      </c>
      <c r="F261" t="inlineStr">
        <is>
          <t>VJ Edgecombe 2025-26 Topps Daily Dribble #DD-33 Black Foil #’d 04/10 76ers RC</t>
        </is>
      </c>
      <c r="G261" s="2" t="n">
        <v>1079.99</v>
      </c>
      <c r="H261" t="n">
        <v>20</v>
      </c>
      <c r="I261" s="9" t="n"/>
      <c r="J261" s="2">
        <f>IF(I261&lt;&gt;"",I261,G261)</f>
        <v/>
      </c>
      <c r="K261" s="2">
        <f>E261-J261</f>
        <v/>
      </c>
      <c r="L261" s="4">
        <f>IF(J261&gt;0,K261/J261,"")</f>
        <v/>
      </c>
    </row>
    <row r="262">
      <c r="A262" t="n">
        <v>261</v>
      </c>
      <c r="B262" t="inlineStr">
        <is>
          <t>Goldin</t>
        </is>
      </c>
      <c r="C262" t="inlineStr">
        <is>
          <t>2022-23 Topps Finest UCC The Man Blue Refractor #FTM-9 Lionel Messi (#072/150) - PSA MINT 9</t>
        </is>
      </c>
      <c r="E262" s="2" t="n">
        <v>138</v>
      </c>
      <c r="F262" t="inlineStr">
        <is>
          <t>2022-23 Topps Finest UEFA Club Competitions - The Man Lionel Messi #9 Blue /150</t>
        </is>
      </c>
      <c r="G262" s="2" t="n">
        <v>150</v>
      </c>
      <c r="H262" t="n">
        <v>22</v>
      </c>
      <c r="I262" s="9" t="n"/>
      <c r="J262" s="2">
        <f>IF(I262&lt;&gt;"",I262,G262)</f>
        <v/>
      </c>
      <c r="K262" s="2">
        <f>E262-J262</f>
        <v/>
      </c>
      <c r="L262" s="4">
        <f>IF(J262&gt;0,K262/J262,"")</f>
        <v/>
      </c>
    </row>
    <row r="263">
      <c r="A263" t="n">
        <v>262</v>
      </c>
      <c r="B263" t="inlineStr">
        <is>
          <t>Goldin</t>
        </is>
      </c>
      <c r="C263" t="inlineStr">
        <is>
          <t>2012-13 Upper Deck Exquisite Collection Dimensions #D-JE Julius Erving Signed Card</t>
        </is>
      </c>
      <c r="E263" s="2" t="n">
        <v>117.3</v>
      </c>
      <c r="F263" t="inlineStr">
        <is>
          <t>2012-13 Upper Deck Exquisite Collection Julius Erving Dimensions Auto</t>
        </is>
      </c>
      <c r="G263" s="2" t="n">
        <v>229</v>
      </c>
      <c r="H263" t="n">
        <v>17</v>
      </c>
      <c r="I263" s="9" t="n"/>
      <c r="J263" s="2">
        <f>IF(I263&lt;&gt;"",I263,G263)</f>
        <v/>
      </c>
      <c r="K263" s="2">
        <f>E263-J263</f>
        <v/>
      </c>
      <c r="L263" s="4">
        <f>IF(J263&gt;0,K263/J263,"")</f>
        <v/>
      </c>
    </row>
    <row r="264">
      <c r="A264" t="n">
        <v>263</v>
      </c>
      <c r="B264" t="inlineStr">
        <is>
          <t>Goldin</t>
        </is>
      </c>
      <c r="C264" t="inlineStr">
        <is>
          <t>2022-23 Panini Immaculate Collection Patch Autographs Jersey Number #IPA-RGO Rudy Gobert Signed Relic Card (#06/27) - Panini Encased</t>
        </is>
      </c>
      <c r="E264" s="2" t="n">
        <v>27.6</v>
      </c>
      <c r="F264" t="inlineStr">
        <is>
          <t>RUDY GOBERT 2022-23 IMMACULATE JERSEY NUMBER PATCH AUTOGRAPH AUTO /27 Q0218</t>
        </is>
      </c>
      <c r="G264" s="2" t="n">
        <v>38</v>
      </c>
      <c r="H264" t="n">
        <v>22</v>
      </c>
      <c r="I264" s="9" t="n"/>
      <c r="J264" s="2">
        <f>IF(I264&lt;&gt;"",I264,G264)</f>
        <v/>
      </c>
      <c r="K264" s="2">
        <f>E264-J264</f>
        <v/>
      </c>
      <c r="L264" s="4">
        <f>IF(J264&gt;0,K264/J264,"")</f>
        <v/>
      </c>
    </row>
    <row r="265">
      <c r="D265" s="1" t="inlineStr">
        <is>
          <t>TOTALS</t>
        </is>
      </c>
      <c r="E265" s="3">
        <f>SUM(E2:E264)</f>
        <v/>
      </c>
      <c r="G265" s="2">
        <f>SUM(G2:G264)</f>
        <v/>
      </c>
      <c r="J265" s="3">
        <f>SUM(J2:J264)</f>
        <v/>
      </c>
      <c r="K265" s="3">
        <f>SUM(K2:K264)</f>
        <v/>
      </c>
      <c r="L265" s="4">
        <f>IF(J265&gt;0,K265/J265,"")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75" customWidth="1" min="3" max="3"/>
  </cols>
  <sheetData>
    <row r="1">
      <c r="A1" s="6" t="inlineStr">
        <is>
          <t>#</t>
        </is>
      </c>
      <c r="B1" s="6" t="inlineStr">
        <is>
          <t>Platform</t>
        </is>
      </c>
      <c r="C1" s="6" t="inlineStr">
        <is>
          <t>Card</t>
        </is>
      </c>
      <c r="D1" s="6" t="inlineStr">
        <is>
          <t>Sale Date</t>
        </is>
      </c>
      <c r="E1" s="6" t="inlineStr">
        <is>
          <t>Net Proceeds</t>
        </is>
      </c>
      <c r="F1" s="7" t="inlineStr">
        <is>
          <t>Source (eBay or Fanatics?)</t>
        </is>
      </c>
      <c r="G1" s="7" t="inlineStr">
        <is>
          <t>ENTER COST</t>
        </is>
      </c>
      <c r="H1" s="6" t="inlineStr">
        <is>
          <t>P&amp;L</t>
        </is>
      </c>
      <c r="I1" s="1" t="n"/>
      <c r="J1" s="1" t="n"/>
    </row>
    <row r="2">
      <c r="A2" t="n">
        <v>1</v>
      </c>
      <c r="B2" t="inlineStr">
        <is>
          <t>Goldin</t>
        </is>
      </c>
      <c r="C2" t="inlineStr">
        <is>
          <t>2019 Panini Flawless Triple Legends Sapphire #TL-MRG Mickey Mantle/Babe Ruth/Lou Gehrig Relic Card (#05/15) - PSA GEM MT 10 - Pop 2</t>
        </is>
      </c>
      <c r="E2" s="2" t="n">
        <v>8051.15</v>
      </c>
      <c r="F2" s="9" t="n"/>
      <c r="G2" s="15" t="n">
        <v>5000</v>
      </c>
      <c r="H2" s="3">
        <f>IF(G2&lt;&gt;"",E2-G2,"")</f>
        <v/>
      </c>
      <c r="I2" s="2" t="n"/>
      <c r="J2" s="4" t="n"/>
    </row>
    <row r="3">
      <c r="A3" t="n">
        <v>2</v>
      </c>
      <c r="B3" t="inlineStr">
        <is>
          <t>Goldin</t>
        </is>
      </c>
      <c r="C3" t="inlineStr">
        <is>
          <t>2025 Panini Impeccable WNBA Basketball Factory-Sealed Hobby Case (3 Boxes) - Possible Paige Bueckers, Hailey Van Lith, Kiki Iriafen Rookie Cards</t>
        </is>
      </c>
      <c r="E3" s="2" t="n">
        <v>2876.15</v>
      </c>
      <c r="F3" s="9" t="n"/>
      <c r="G3" s="15" t="n">
        <v>3600</v>
      </c>
      <c r="H3" s="3">
        <f>IF(G3&lt;&gt;"",E3-G3,"")</f>
        <v/>
      </c>
      <c r="I3" s="2" t="n"/>
      <c r="J3" s="4" t="n"/>
    </row>
    <row r="4">
      <c r="A4" t="n">
        <v>3</v>
      </c>
      <c r="B4" t="inlineStr">
        <is>
          <t>Goldin</t>
        </is>
      </c>
      <c r="C4" t="inlineStr">
        <is>
          <t>Feb. 27, 2013 - Stephen Curry Signed Full Ticket - Golden State Warriors vs. New York Knicks - Season Highs of 54 Points and 11 3-Pointers - PSA Authentic</t>
        </is>
      </c>
      <c r="E4" s="2" t="n">
        <v>529</v>
      </c>
      <c r="F4" s="9" t="n"/>
      <c r="G4" s="15" t="n">
        <v>0</v>
      </c>
      <c r="H4" s="3">
        <f>IF(G4&lt;&gt;"",E4-G4,"")</f>
        <v/>
      </c>
      <c r="I4" s="2" t="n"/>
      <c r="J4" s="4" t="n"/>
    </row>
    <row r="5">
      <c r="A5" t="n">
        <v>4</v>
      </c>
      <c r="B5" t="inlineStr">
        <is>
          <t>Goldin</t>
        </is>
      </c>
      <c r="C5" t="inlineStr">
        <is>
          <t>Stephen Curry Signed Trading Card - PSA/DNA Authentic</t>
        </is>
      </c>
      <c r="E5" s="2" t="n">
        <v>380.65</v>
      </c>
      <c r="F5" s="9" t="n"/>
      <c r="G5" s="15" t="n">
        <v>0</v>
      </c>
      <c r="H5" s="3">
        <f>IF(G5&lt;&gt;"",E5-G5,"")</f>
        <v/>
      </c>
      <c r="I5" s="2" t="n"/>
      <c r="J5" s="4" t="n"/>
    </row>
    <row r="6">
      <c r="A6" t="n">
        <v>5</v>
      </c>
      <c r="B6" t="inlineStr">
        <is>
          <t>Goldin</t>
        </is>
      </c>
      <c r="C6" t="inlineStr">
        <is>
          <t>1997-98 Fleer Hoops 23k Gold Basketball Texture Bulls Starting Five - PSA GEM MT 10</t>
        </is>
      </c>
      <c r="E6" s="2" t="n">
        <v>330.05</v>
      </c>
      <c r="F6" s="9" t="n"/>
      <c r="G6" s="15" t="n">
        <v>0</v>
      </c>
      <c r="H6" s="3">
        <f>IF(G6&lt;&gt;"",E6-G6,"")</f>
        <v/>
      </c>
      <c r="I6" s="2" t="n"/>
      <c r="J6" s="4" t="n"/>
    </row>
    <row r="7">
      <c r="A7" t="n">
        <v>6</v>
      </c>
      <c r="B7" t="inlineStr">
        <is>
          <t>Goldin</t>
        </is>
      </c>
      <c r="C7" t="inlineStr">
        <is>
          <t>2024-25 Topps Deluxe Manchester United Speak of the Devil Autograph Orange Refractor #SD-ZA Zlatan Ibrahimovic Signed Card (#07/25) - PSA MINT 9 - Pop 4</t>
        </is>
      </c>
      <c r="E7" s="2" t="n">
        <v>178.25</v>
      </c>
      <c r="F7" s="9" t="n"/>
      <c r="G7" s="15" t="n">
        <v>0</v>
      </c>
      <c r="H7" s="3">
        <f>IF(G7&lt;&gt;"",E7-G7,"")</f>
        <v/>
      </c>
      <c r="I7" s="2" t="n"/>
      <c r="J7" s="4" t="n"/>
    </row>
    <row r="8">
      <c r="A8" t="n">
        <v>7</v>
      </c>
      <c r="B8" t="inlineStr">
        <is>
          <t>Goldin</t>
        </is>
      </c>
      <c r="C8" t="inlineStr">
        <is>
          <t>Mike Tyson Signed Everlast Boxing Glove - Fiterman Sports</t>
        </is>
      </c>
      <c r="E8" s="2" t="n">
        <v>126.5</v>
      </c>
      <c r="F8" s="9" t="n"/>
      <c r="G8" s="15" t="n">
        <v>0</v>
      </c>
      <c r="H8" s="3">
        <f>IF(G8&lt;&gt;"",E8-G8,"")</f>
        <v/>
      </c>
      <c r="I8" s="2" t="n"/>
      <c r="J8" s="4" t="n"/>
    </row>
    <row r="9">
      <c r="A9" t="n">
        <v>8</v>
      </c>
      <c r="B9" t="inlineStr">
        <is>
          <t>Goldin</t>
        </is>
      </c>
      <c r="C9" t="inlineStr">
        <is>
          <t>2019-20 Panini One and One Dual Jersey Autographs Purple #DJA-DAF De'Aaron Fox Signed Relic Card (#06/35) - Panini Encased</t>
        </is>
      </c>
      <c r="E9" s="2" t="n">
        <v>75.90000000000001</v>
      </c>
      <c r="F9" s="9" t="n"/>
      <c r="G9" s="15" t="n">
        <v>0</v>
      </c>
      <c r="H9" s="3">
        <f>IF(G9&lt;&gt;"",E9-G9,"")</f>
        <v/>
      </c>
      <c r="I9" s="2" t="n"/>
      <c r="J9" s="4" t="n"/>
    </row>
    <row r="10">
      <c r="A10" t="n">
        <v>9</v>
      </c>
      <c r="B10" t="inlineStr">
        <is>
          <t>Goldin</t>
        </is>
      </c>
      <c r="C10" t="inlineStr">
        <is>
          <t>Allen Iverson Signed Trading Card - PSA/DNA Authentic</t>
        </is>
      </c>
      <c r="E10" s="2" t="n">
        <v>71.3</v>
      </c>
      <c r="F10" s="9" t="n"/>
      <c r="G10" s="15" t="n">
        <v>0</v>
      </c>
      <c r="H10" s="3">
        <f>IF(G10&lt;&gt;"",E10-G10,"")</f>
        <v/>
      </c>
      <c r="I10" s="2" t="n"/>
      <c r="J10" s="4" t="n"/>
    </row>
    <row r="11">
      <c r="D11" s="1" t="inlineStr">
        <is>
          <t>TOTALS</t>
        </is>
      </c>
      <c r="E11" s="3">
        <f>SUM(E2:E10)</f>
        <v/>
      </c>
      <c r="G11" s="2">
        <f>SUM(G2:G10)</f>
        <v/>
      </c>
      <c r="H11" s="3">
        <f>SUM(H2:H10)</f>
        <v/>
      </c>
      <c r="I11" s="2" t="n"/>
      <c r="J11" s="4" t="n"/>
    </row>
    <row r="12">
      <c r="E12" s="2" t="n"/>
      <c r="G12" s="2" t="n"/>
      <c r="H12" s="3" t="n"/>
      <c r="I12" s="2" t="n"/>
      <c r="J12" s="4" t="n"/>
    </row>
    <row r="13">
      <c r="E13" s="2" t="n"/>
      <c r="G13" s="2" t="n"/>
      <c r="H13" s="3" t="n"/>
      <c r="I13" s="2" t="n"/>
      <c r="J13" s="4" t="n"/>
    </row>
    <row r="14">
      <c r="E14" s="2" t="n"/>
      <c r="G14" s="2" t="n"/>
      <c r="H14" s="3" t="n"/>
      <c r="I14" s="2" t="n"/>
      <c r="J14" s="4" t="n"/>
    </row>
    <row r="15">
      <c r="E15" s="2" t="n"/>
      <c r="G15" s="2" t="n"/>
      <c r="H15" s="3" t="n"/>
      <c r="I15" s="2" t="n"/>
      <c r="J15" s="4" t="n"/>
    </row>
    <row r="16">
      <c r="E16" s="2" t="n"/>
      <c r="G16" s="2" t="n"/>
      <c r="H16" s="3" t="n"/>
      <c r="I16" s="2" t="n"/>
      <c r="J16" s="4" t="n"/>
    </row>
    <row r="17">
      <c r="E17" s="2" t="n"/>
      <c r="G17" s="2" t="n"/>
      <c r="H17" s="3" t="n"/>
      <c r="I17" s="2" t="n"/>
      <c r="J17" s="4" t="n"/>
    </row>
    <row r="18">
      <c r="E18" s="2" t="n"/>
      <c r="G18" s="2" t="n"/>
      <c r="H18" s="3" t="n"/>
      <c r="I18" s="2" t="n"/>
      <c r="J18" s="4" t="n"/>
    </row>
    <row r="19">
      <c r="E19" s="2" t="n"/>
      <c r="G19" s="2" t="n"/>
      <c r="H19" s="3" t="n"/>
      <c r="I19" s="2" t="n"/>
      <c r="J19" s="4" t="n"/>
    </row>
    <row r="20">
      <c r="E20" s="2" t="n"/>
      <c r="G20" s="2" t="n"/>
      <c r="H20" s="3" t="n"/>
      <c r="I20" s="2" t="n"/>
      <c r="J20" s="4" t="n"/>
    </row>
    <row r="21">
      <c r="E21" s="2" t="n"/>
      <c r="G21" s="2" t="n"/>
      <c r="H21" s="3" t="n"/>
      <c r="I21" s="2" t="n"/>
      <c r="J21" s="4" t="n"/>
    </row>
    <row r="22">
      <c r="E22" s="2" t="n"/>
      <c r="G22" s="2" t="n"/>
      <c r="H22" s="3" t="n"/>
      <c r="I22" s="2" t="n"/>
      <c r="J22" s="4" t="n"/>
    </row>
    <row r="23">
      <c r="E23" s="2" t="n"/>
      <c r="G23" s="2" t="n"/>
      <c r="H23" s="3" t="n"/>
      <c r="I23" s="2" t="n"/>
      <c r="J23" s="4" t="n"/>
    </row>
    <row r="24">
      <c r="E24" s="2" t="n"/>
      <c r="G24" s="2" t="n"/>
      <c r="H24" s="3" t="n"/>
      <c r="I24" s="2" t="n"/>
      <c r="J24" s="4" t="n"/>
    </row>
    <row r="25">
      <c r="E25" s="2" t="n"/>
      <c r="G25" s="2" t="n"/>
      <c r="H25" s="3" t="n"/>
      <c r="I25" s="2" t="n"/>
      <c r="J25" s="4" t="n"/>
    </row>
    <row r="26">
      <c r="E26" s="2" t="n"/>
      <c r="G26" s="2" t="n"/>
      <c r="H26" s="3" t="n"/>
      <c r="I26" s="2" t="n"/>
      <c r="J26" s="4" t="n"/>
    </row>
    <row r="27">
      <c r="E27" s="2" t="n"/>
      <c r="G27" s="2" t="n"/>
      <c r="H27" s="3" t="n"/>
      <c r="I27" s="2" t="n"/>
      <c r="J27" s="4" t="n"/>
    </row>
    <row r="28">
      <c r="E28" s="2" t="n"/>
      <c r="G28" s="2" t="n"/>
      <c r="H28" s="3" t="n"/>
      <c r="I28" s="2" t="n"/>
      <c r="J28" s="4" t="n"/>
    </row>
    <row r="29">
      <c r="E29" s="2" t="n"/>
      <c r="G29" s="2" t="n"/>
      <c r="H29" s="3" t="n"/>
      <c r="I29" s="2" t="n"/>
      <c r="J29" s="4" t="n"/>
    </row>
    <row r="30">
      <c r="E30" s="2" t="n"/>
      <c r="G30" s="2" t="n"/>
      <c r="H30" s="3" t="n"/>
      <c r="I30" s="2" t="n"/>
      <c r="J30" s="4" t="n"/>
    </row>
    <row r="31">
      <c r="E31" s="2" t="n"/>
      <c r="G31" s="2" t="n"/>
      <c r="H31" s="3" t="n"/>
      <c r="I31" s="2" t="n"/>
      <c r="J31" s="4" t="n"/>
    </row>
    <row r="32">
      <c r="E32" s="2" t="n"/>
      <c r="G32" s="2" t="n"/>
      <c r="H32" s="3" t="n"/>
      <c r="I32" s="2" t="n"/>
      <c r="J32" s="4" t="n"/>
    </row>
    <row r="33">
      <c r="E33" s="2" t="n"/>
      <c r="G33" s="2" t="n"/>
      <c r="H33" s="3" t="n"/>
      <c r="I33" s="2" t="n"/>
      <c r="J33" s="4" t="n"/>
    </row>
    <row r="34">
      <c r="E34" s="2" t="n"/>
      <c r="G34" s="2" t="n"/>
      <c r="H34" s="3" t="n"/>
      <c r="I34" s="2" t="n"/>
      <c r="J34" s="4" t="n"/>
    </row>
    <row r="35">
      <c r="E35" s="2" t="n"/>
      <c r="G35" s="2" t="n"/>
      <c r="H35" s="3" t="n"/>
      <c r="I35" s="2" t="n"/>
      <c r="J35" s="4" t="n"/>
    </row>
    <row r="36">
      <c r="E36" s="2" t="n"/>
      <c r="G36" s="2" t="n"/>
      <c r="H36" s="3" t="n"/>
      <c r="I36" s="2" t="n"/>
      <c r="J36" s="4" t="n"/>
    </row>
    <row r="37">
      <c r="E37" s="2" t="n"/>
      <c r="G37" s="2" t="n"/>
      <c r="H37" s="3" t="n"/>
      <c r="I37" s="2" t="n"/>
      <c r="J37" s="4" t="n"/>
    </row>
    <row r="38">
      <c r="E38" s="2" t="n"/>
      <c r="G38" s="2" t="n"/>
      <c r="H38" s="3" t="n"/>
      <c r="I38" s="2" t="n"/>
      <c r="J38" s="4" t="n"/>
    </row>
    <row r="39">
      <c r="E39" s="2" t="n"/>
      <c r="G39" s="2" t="n"/>
      <c r="H39" s="3" t="n"/>
      <c r="I39" s="2" t="n"/>
      <c r="J39" s="4" t="n"/>
    </row>
    <row r="40">
      <c r="E40" s="2" t="n"/>
      <c r="G40" s="2" t="n"/>
      <c r="H40" s="3" t="n"/>
      <c r="I40" s="2" t="n"/>
      <c r="J40" s="4" t="n"/>
    </row>
    <row r="41">
      <c r="E41" s="2" t="n"/>
      <c r="G41" s="2" t="n"/>
      <c r="H41" s="3" t="n"/>
      <c r="I41" s="2" t="n"/>
      <c r="J41" s="4" t="n"/>
    </row>
    <row r="42">
      <c r="E42" s="2" t="n"/>
      <c r="G42" s="2" t="n"/>
      <c r="H42" s="3" t="n"/>
      <c r="I42" s="2" t="n"/>
      <c r="J42" s="4" t="n"/>
    </row>
    <row r="43">
      <c r="E43" s="2" t="n"/>
      <c r="G43" s="2" t="n"/>
      <c r="H43" s="3" t="n"/>
      <c r="I43" s="2" t="n"/>
      <c r="J43" s="4" t="n"/>
    </row>
    <row r="44">
      <c r="E44" s="2" t="n"/>
      <c r="G44" s="2" t="n"/>
      <c r="H44" s="3" t="n"/>
      <c r="I44" s="2" t="n"/>
      <c r="J44" s="4" t="n"/>
    </row>
    <row r="45">
      <c r="E45" s="2" t="n"/>
      <c r="G45" s="2" t="n"/>
      <c r="H45" s="3" t="n"/>
      <c r="I45" s="2" t="n"/>
      <c r="J45" s="4" t="n"/>
    </row>
    <row r="46">
      <c r="E46" s="2" t="n"/>
      <c r="G46" s="2" t="n"/>
      <c r="H46" s="3" t="n"/>
      <c r="I46" s="2" t="n"/>
      <c r="J46" s="4" t="n"/>
    </row>
    <row r="47">
      <c r="E47" s="2" t="n"/>
      <c r="G47" s="2" t="n"/>
      <c r="H47" s="3" t="n"/>
      <c r="I47" s="2" t="n"/>
      <c r="J47" s="4" t="n"/>
    </row>
    <row r="48">
      <c r="E48" s="2" t="n"/>
      <c r="G48" s="2" t="n"/>
      <c r="H48" s="3" t="n"/>
      <c r="I48" s="2" t="n"/>
      <c r="J48" s="4" t="n"/>
    </row>
    <row r="49">
      <c r="E49" s="2" t="n"/>
      <c r="G49" s="2" t="n"/>
      <c r="H49" s="3" t="n"/>
      <c r="I49" s="2" t="n"/>
      <c r="J49" s="4" t="n"/>
    </row>
    <row r="50">
      <c r="E50" s="2" t="n"/>
      <c r="G50" s="2" t="n"/>
      <c r="H50" s="3" t="n"/>
      <c r="I50" s="2" t="n"/>
      <c r="J50" s="4" t="n"/>
    </row>
    <row r="51">
      <c r="E51" s="2" t="n"/>
      <c r="G51" s="2" t="n"/>
      <c r="H51" s="3" t="n"/>
      <c r="I51" s="2" t="n"/>
      <c r="J51" s="4" t="n"/>
    </row>
    <row r="52">
      <c r="E52" s="2" t="n"/>
      <c r="G52" s="2" t="n"/>
      <c r="H52" s="3" t="n"/>
      <c r="I52" s="2" t="n"/>
      <c r="J52" s="4" t="n"/>
    </row>
    <row r="53">
      <c r="E53" s="2" t="n"/>
      <c r="G53" s="2" t="n"/>
      <c r="H53" s="3" t="n"/>
      <c r="I53" s="2" t="n"/>
      <c r="J53" s="4" t="n"/>
    </row>
    <row r="54">
      <c r="E54" s="2" t="n"/>
      <c r="G54" s="2" t="n"/>
      <c r="H54" s="3" t="n"/>
      <c r="I54" s="2" t="n"/>
      <c r="J54" s="4" t="n"/>
    </row>
    <row r="55">
      <c r="E55" s="2" t="n"/>
      <c r="G55" s="2" t="n"/>
      <c r="H55" s="3" t="n"/>
      <c r="I55" s="2" t="n"/>
      <c r="J55" s="4" t="n"/>
    </row>
    <row r="56">
      <c r="E56" s="2" t="n"/>
      <c r="G56" s="2" t="n"/>
      <c r="H56" s="3" t="n"/>
      <c r="I56" s="2" t="n"/>
      <c r="J56" s="4" t="n"/>
    </row>
    <row r="57">
      <c r="E57" s="2" t="n"/>
      <c r="G57" s="2" t="n"/>
      <c r="H57" s="3" t="n"/>
      <c r="I57" s="2" t="n"/>
      <c r="J57" s="4" t="n"/>
    </row>
    <row r="58">
      <c r="E58" s="2" t="n"/>
      <c r="G58" s="2" t="n"/>
      <c r="H58" s="3" t="n"/>
      <c r="I58" s="2" t="n"/>
      <c r="J58" s="4" t="n"/>
    </row>
    <row r="59">
      <c r="E59" s="2" t="n"/>
      <c r="G59" s="2" t="n"/>
      <c r="H59" s="3" t="n"/>
      <c r="I59" s="2" t="n"/>
      <c r="J59" s="4" t="n"/>
    </row>
    <row r="60">
      <c r="E60" s="2" t="n"/>
      <c r="G60" s="2" t="n"/>
      <c r="H60" s="3" t="n"/>
      <c r="I60" s="2" t="n"/>
      <c r="J60" s="4" t="n"/>
    </row>
    <row r="61">
      <c r="E61" s="2" t="n"/>
      <c r="G61" s="2" t="n"/>
      <c r="H61" s="3" t="n"/>
      <c r="I61" s="2" t="n"/>
      <c r="J61" s="4" t="n"/>
    </row>
    <row r="62">
      <c r="E62" s="2" t="n"/>
      <c r="G62" s="2" t="n"/>
      <c r="H62" s="3" t="n"/>
      <c r="I62" s="2" t="n"/>
      <c r="J62" s="4" t="n"/>
    </row>
    <row r="63">
      <c r="E63" s="2" t="n"/>
      <c r="G63" s="2" t="n"/>
      <c r="H63" s="3" t="n"/>
      <c r="I63" s="2" t="n"/>
      <c r="J63" s="4" t="n"/>
    </row>
    <row r="64">
      <c r="E64" s="2" t="n"/>
      <c r="G64" s="2" t="n"/>
      <c r="H64" s="3" t="n"/>
      <c r="I64" s="2" t="n"/>
      <c r="J64" s="4" t="n"/>
    </row>
    <row r="65">
      <c r="E65" s="2" t="n"/>
      <c r="G65" s="2" t="n"/>
      <c r="H65" s="3" t="n"/>
      <c r="I65" s="2" t="n"/>
      <c r="J65" s="4" t="n"/>
    </row>
    <row r="66">
      <c r="E66" s="2" t="n"/>
      <c r="G66" s="2" t="n"/>
      <c r="H66" s="3" t="n"/>
      <c r="I66" s="2" t="n"/>
      <c r="J66" s="4" t="n"/>
    </row>
    <row r="67">
      <c r="E67" s="2" t="n"/>
      <c r="G67" s="2" t="n"/>
      <c r="H67" s="3" t="n"/>
      <c r="I67" s="2" t="n"/>
      <c r="J67" s="4" t="n"/>
    </row>
    <row r="68">
      <c r="E68" s="2" t="n"/>
      <c r="G68" s="2" t="n"/>
      <c r="H68" s="3" t="n"/>
      <c r="I68" s="2" t="n"/>
      <c r="J68" s="4" t="n"/>
    </row>
    <row r="69">
      <c r="E69" s="2" t="n"/>
      <c r="G69" s="2" t="n"/>
      <c r="H69" s="3" t="n"/>
      <c r="I69" s="2" t="n"/>
      <c r="J69" s="4" t="n"/>
    </row>
    <row r="70">
      <c r="E70" s="2" t="n"/>
      <c r="G70" s="2" t="n"/>
      <c r="H70" s="3" t="n"/>
      <c r="I70" s="2" t="n"/>
      <c r="J70" s="4" t="n"/>
    </row>
    <row r="71">
      <c r="E71" s="2" t="n"/>
      <c r="G71" s="2" t="n"/>
      <c r="H71" s="3" t="n"/>
      <c r="I71" s="2" t="n"/>
      <c r="J71" s="4" t="n"/>
    </row>
    <row r="72">
      <c r="E72" s="2" t="n"/>
      <c r="G72" s="2" t="n"/>
      <c r="H72" s="3" t="n"/>
      <c r="I72" s="2" t="n"/>
      <c r="J72" s="4" t="n"/>
    </row>
    <row r="73">
      <c r="E73" s="2" t="n"/>
      <c r="G73" s="2" t="n"/>
      <c r="H73" s="3" t="n"/>
      <c r="I73" s="2" t="n"/>
      <c r="J73" s="4" t="n"/>
    </row>
    <row r="74">
      <c r="E74" s="2" t="n"/>
      <c r="G74" s="2" t="n"/>
      <c r="H74" s="3" t="n"/>
      <c r="I74" s="2" t="n"/>
      <c r="J74" s="4" t="n"/>
    </row>
    <row r="75">
      <c r="E75" s="2" t="n"/>
      <c r="G75" s="2" t="n"/>
      <c r="H75" s="3" t="n"/>
      <c r="I75" s="2" t="n"/>
      <c r="J75" s="4" t="n"/>
    </row>
    <row r="76">
      <c r="E76" s="2" t="n"/>
      <c r="G76" s="2" t="n"/>
      <c r="H76" s="3" t="n"/>
      <c r="I76" s="2" t="n"/>
      <c r="J76" s="4" t="n"/>
    </row>
    <row r="77">
      <c r="E77" s="2" t="n"/>
      <c r="G77" s="2" t="n"/>
      <c r="H77" s="3" t="n"/>
      <c r="I77" s="2" t="n"/>
      <c r="J77" s="4" t="n"/>
    </row>
    <row r="78">
      <c r="E78" s="2" t="n"/>
      <c r="G78" s="2" t="n"/>
      <c r="H78" s="3" t="n"/>
      <c r="I78" s="2" t="n"/>
      <c r="J78" s="4" t="n"/>
    </row>
    <row r="79">
      <c r="E79" s="2" t="n"/>
      <c r="G79" s="2" t="n"/>
      <c r="H79" s="3" t="n"/>
      <c r="I79" s="2" t="n"/>
      <c r="J79" s="4" t="n"/>
    </row>
    <row r="80">
      <c r="E80" s="2" t="n"/>
      <c r="G80" s="2" t="n"/>
      <c r="H80" s="3" t="n"/>
      <c r="I80" s="2" t="n"/>
      <c r="J80" s="4" t="n"/>
    </row>
    <row r="81">
      <c r="E81" s="2" t="n"/>
      <c r="G81" s="2" t="n"/>
      <c r="H81" s="3" t="n"/>
      <c r="I81" s="2" t="n"/>
      <c r="J81" s="4" t="n"/>
    </row>
    <row r="82">
      <c r="E82" s="2" t="n"/>
      <c r="G82" s="2" t="n"/>
      <c r="H82" s="3" t="n"/>
      <c r="I82" s="2" t="n"/>
      <c r="J82" s="4" t="n"/>
    </row>
    <row r="83">
      <c r="E83" s="2" t="n"/>
      <c r="G83" s="2" t="n"/>
      <c r="H83" s="3" t="n"/>
      <c r="I83" s="2" t="n"/>
      <c r="J83" s="4" t="n"/>
    </row>
    <row r="85">
      <c r="D85" s="1" t="n"/>
      <c r="E85" s="3" t="n"/>
      <c r="H85" s="3" t="n"/>
      <c r="I8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65" customWidth="1" min="3" max="3"/>
    <col width="65" customWidth="1" min="7" max="7"/>
  </cols>
  <sheetData>
    <row r="1">
      <c r="A1" s="6" t="inlineStr">
        <is>
          <t>#</t>
        </is>
      </c>
      <c r="B1" s="6" t="inlineStr">
        <is>
          <t>Platform</t>
        </is>
      </c>
      <c r="C1" s="6" t="inlineStr">
        <is>
          <t>Card</t>
        </is>
      </c>
      <c r="D1" s="6" t="inlineStr">
        <is>
          <t>Sale Date</t>
        </is>
      </c>
      <c r="E1" s="6" t="inlineStr">
        <is>
          <t>Net Proceeds</t>
        </is>
      </c>
      <c r="F1" s="6" t="inlineStr">
        <is>
          <t>Fee%</t>
        </is>
      </c>
      <c r="G1" s="6" t="inlineStr">
        <is>
          <t>eBay Match</t>
        </is>
      </c>
      <c r="H1" s="6" t="inlineStr">
        <is>
          <t>eBay Cost</t>
        </is>
      </c>
      <c r="I1" s="6" t="inlineStr">
        <is>
          <t>Score</t>
        </is>
      </c>
      <c r="J1" s="7" t="inlineStr">
        <is>
          <t>CORRECTED COST</t>
        </is>
      </c>
      <c r="K1" s="6" t="inlineStr">
        <is>
          <t>Final Cost</t>
        </is>
      </c>
      <c r="L1" s="6" t="inlineStr">
        <is>
          <t>P&amp;L</t>
        </is>
      </c>
      <c r="M1" s="6" t="inlineStr">
        <is>
          <t>Return</t>
        </is>
      </c>
    </row>
    <row r="2">
      <c r="A2" t="n">
        <v>1</v>
      </c>
      <c r="B2" t="inlineStr">
        <is>
          <t>Fanatics Collect</t>
        </is>
      </c>
      <c r="C2" t="inlineStr">
        <is>
          <t>2024 Donruss Optic Downtown Prizm Victor Wembanyama #16 PSA 10 GEM MINT</t>
        </is>
      </c>
      <c r="D2" t="inlineStr">
        <is>
          <t>2026-05-19</t>
        </is>
      </c>
      <c r="E2" s="2" t="n">
        <v>11000</v>
      </c>
      <c r="F2" s="8" t="n">
        <v>12</v>
      </c>
      <c r="G2" t="inlineStr">
        <is>
          <t>2024 Panini Donruss Optic Victor Wembanyama Net Marvels Red Prizm /99 PSA 10</t>
        </is>
      </c>
      <c r="H2" s="2" t="n">
        <v>600</v>
      </c>
      <c r="I2" t="n">
        <v>22</v>
      </c>
      <c r="J2" s="9" t="n"/>
      <c r="K2" s="2">
        <f>IF(J2&lt;&gt;"",J2,H2)</f>
        <v/>
      </c>
      <c r="L2" s="2">
        <f>E2-K2</f>
        <v/>
      </c>
      <c r="M2" s="4">
        <f>IF(K2&gt;0,L2/K2,"")</f>
        <v/>
      </c>
    </row>
    <row r="3">
      <c r="A3" t="n">
        <v>2</v>
      </c>
      <c r="B3" t="inlineStr">
        <is>
          <t>Fanatics Collect</t>
        </is>
      </c>
      <c r="C3" t="inlineStr">
        <is>
          <t>1997 Hoops Hooperstars Die-Cut Michael Jordan #1 PSA 10 GEM MINT</t>
        </is>
      </c>
      <c r="D3" t="inlineStr">
        <is>
          <t>2026-05-19</t>
        </is>
      </c>
      <c r="E3" s="2" t="n">
        <v>6486</v>
      </c>
      <c r="F3" s="8" t="n">
        <v>6</v>
      </c>
      <c r="G3" t="inlineStr">
        <is>
          <t>1997-98 Fleer Flair Showcase Michael Jordan Row 3 #1 Bulls PSA 10</t>
        </is>
      </c>
      <c r="H3" s="2" t="n">
        <v>1844</v>
      </c>
      <c r="I3" t="n">
        <v>26</v>
      </c>
      <c r="J3" s="9" t="n"/>
      <c r="K3" s="2">
        <f>IF(J3&lt;&gt;"",J3,H3)</f>
        <v/>
      </c>
      <c r="L3" s="2">
        <f>E3-K3</f>
        <v/>
      </c>
      <c r="M3" s="4">
        <f>IF(K3&gt;0,L3/K3,"")</f>
        <v/>
      </c>
    </row>
    <row r="4">
      <c r="A4" t="n">
        <v>3</v>
      </c>
      <c r="B4" t="inlineStr">
        <is>
          <t>Fanatics Collect</t>
        </is>
      </c>
      <c r="C4" t="inlineStr">
        <is>
          <t>2003 Topps Chrome LeBron James ROOKIE #111 BGS 9.5 GEM MINT</t>
        </is>
      </c>
      <c r="D4" t="inlineStr">
        <is>
          <t>2026-06-02</t>
        </is>
      </c>
      <c r="E4" s="2" t="n">
        <v>4183</v>
      </c>
      <c r="F4" s="8" t="n">
        <v>6</v>
      </c>
      <c r="G4" t="inlineStr">
        <is>
          <t>2003 TOPPS CHROME #111 LEBRON JAMES ROOKIE RC PSA 9</t>
        </is>
      </c>
      <c r="H4" s="2" t="n">
        <v>1950</v>
      </c>
      <c r="I4" t="n">
        <v>29</v>
      </c>
      <c r="J4" s="9" t="n"/>
      <c r="K4" s="2">
        <f>IF(J4&lt;&gt;"",J4,H4)</f>
        <v/>
      </c>
      <c r="L4" s="2">
        <f>E4-K4</f>
        <v/>
      </c>
      <c r="M4" s="4">
        <f>IF(K4&gt;0,L4/K4,"")</f>
        <v/>
      </c>
    </row>
    <row r="5">
      <c r="A5" t="n">
        <v>4</v>
      </c>
      <c r="B5" t="inlineStr">
        <is>
          <t>Fanatics Collect</t>
        </is>
      </c>
      <c r="C5" t="inlineStr">
        <is>
          <t>2024 Panini One And One Prizmania Stephen Curry #3 PSA 10 GEM MINT</t>
        </is>
      </c>
      <c r="D5" t="inlineStr">
        <is>
          <t>2026-06-08</t>
        </is>
      </c>
      <c r="E5" s="2" t="n">
        <v>4037.3</v>
      </c>
      <c r="F5" s="8" t="n">
        <v>6</v>
      </c>
      <c r="G5" t="inlineStr">
        <is>
          <t>Stephen Curry 2024-25 Panini One And One Metal Prizmania Case Hit SSP #3</t>
        </is>
      </c>
      <c r="H5" s="2" t="n">
        <v>725</v>
      </c>
      <c r="I5" t="n">
        <v>29</v>
      </c>
      <c r="J5" s="9" t="n"/>
      <c r="K5" s="2">
        <f>IF(J5&lt;&gt;"",J5,H5)</f>
        <v/>
      </c>
      <c r="L5" s="2">
        <f>E5-K5</f>
        <v/>
      </c>
      <c r="M5" s="4">
        <f>IF(K5&gt;0,L5/K5,"")</f>
        <v/>
      </c>
    </row>
    <row r="6">
      <c r="A6" t="n">
        <v>5</v>
      </c>
      <c r="B6" t="inlineStr">
        <is>
          <t>Fanatics Collect</t>
        </is>
      </c>
      <c r="C6" t="inlineStr">
        <is>
          <t>2003 Topps Chrome LeBron James ROOKIE #111 BGS 9.5 GEM MINT</t>
        </is>
      </c>
      <c r="D6" t="inlineStr">
        <is>
          <t>2026-06-02</t>
        </is>
      </c>
      <c r="E6" s="2" t="n">
        <v>3995</v>
      </c>
      <c r="F6" s="8" t="n">
        <v>6</v>
      </c>
      <c r="G6" t="inlineStr">
        <is>
          <t>LEBRON JAMES PSA 10 2003-04 TOPPS CHROME BASKETBALL #111 ROOKIE GEM RC LAKERS</t>
        </is>
      </c>
      <c r="H6" s="2" t="n">
        <v>7505</v>
      </c>
      <c r="I6" t="n">
        <v>29</v>
      </c>
      <c r="J6" s="9" t="n"/>
      <c r="K6" s="2">
        <f>IF(J6&lt;&gt;"",J6,H6)</f>
        <v/>
      </c>
      <c r="L6" s="2">
        <f>E6-K6</f>
        <v/>
      </c>
      <c r="M6" s="4">
        <f>IF(K6&gt;0,L6/K6,"")</f>
        <v/>
      </c>
    </row>
    <row r="7">
      <c r="A7" t="n">
        <v>6</v>
      </c>
      <c r="B7" t="inlineStr">
        <is>
          <t>Fanatics Collect</t>
        </is>
      </c>
      <c r="C7" t="inlineStr">
        <is>
          <t>2003 Topps Chrome LeBron James ROOKIE #111 BGS 9.5 GEM MINT</t>
        </is>
      </c>
      <c r="D7" t="inlineStr">
        <is>
          <t>2026-05-19</t>
        </is>
      </c>
      <c r="E7" s="2" t="n">
        <v>3713</v>
      </c>
      <c r="F7" s="8" t="n">
        <v>6</v>
      </c>
      <c r="G7" t="inlineStr">
        <is>
          <t>2003-04 Topps Chrome LeBron James #111 (RC) Rookie PSA 9 Mint</t>
        </is>
      </c>
      <c r="H7" s="2" t="n">
        <v>2199</v>
      </c>
      <c r="I7" t="n">
        <v>29</v>
      </c>
      <c r="J7" s="9" t="n"/>
      <c r="K7" s="2">
        <f>IF(J7&lt;&gt;"",J7,H7)</f>
        <v/>
      </c>
      <c r="L7" s="2">
        <f>E7-K7</f>
        <v/>
      </c>
      <c r="M7" s="4">
        <f>IF(K7&gt;0,L7/K7,"")</f>
        <v/>
      </c>
    </row>
    <row r="8">
      <c r="A8" t="n">
        <v>7</v>
      </c>
      <c r="B8" t="inlineStr">
        <is>
          <t>Fanatics Collect</t>
        </is>
      </c>
      <c r="C8" t="inlineStr">
        <is>
          <t>2024 Topps Jose Mourinho Platinum UEFA Euro European Future Purple Lamine Yamal AUTO /25 PSA 8</t>
        </is>
      </c>
      <c r="D8" t="inlineStr">
        <is>
          <t>2026-06-18</t>
        </is>
      </c>
      <c r="E8" s="2" t="n">
        <v>3102</v>
      </c>
      <c r="F8" s="8" t="n">
        <v>6</v>
      </c>
      <c r="G8" t="inlineStr">
        <is>
          <t>2024-25 Topps Finest UEFA Club Lamine Yamal Orange 19/25 Jersey Number Match 1/1</t>
        </is>
      </c>
      <c r="H8" s="2" t="n">
        <v>461</v>
      </c>
      <c r="I8" t="n">
        <v>18</v>
      </c>
      <c r="J8" s="9" t="n"/>
      <c r="K8" s="2">
        <f>IF(J8&lt;&gt;"",J8,H8)</f>
        <v/>
      </c>
      <c r="L8" s="2">
        <f>E8-K8</f>
        <v/>
      </c>
      <c r="M8" s="4">
        <f>IF(K8&gt;0,L8/K8,"")</f>
        <v/>
      </c>
    </row>
    <row r="9">
      <c r="A9" t="n">
        <v>8</v>
      </c>
      <c r="B9" t="inlineStr">
        <is>
          <t>Fanatics Collect</t>
        </is>
      </c>
      <c r="C9" t="inlineStr">
        <is>
          <t>2023 Score FIFA Blue Lasers Lamine Yamal ROOKIE /50 #87 PSA 10 GEM MINT</t>
        </is>
      </c>
      <c r="D9" t="inlineStr">
        <is>
          <t>2026-06-16</t>
        </is>
      </c>
      <c r="E9" s="2" t="n">
        <v>2914</v>
      </c>
      <c r="F9" s="8" t="n">
        <v>6</v>
      </c>
      <c r="G9" t="inlineStr">
        <is>
          <t>Victor Wembanyama 2023-24 Select Blue Prizm SP #87 PSA 10 Rookie RC Concourse</t>
        </is>
      </c>
      <c r="H9" s="2" t="n">
        <v>100</v>
      </c>
      <c r="I9" t="n">
        <v>22</v>
      </c>
      <c r="J9" s="9" t="n"/>
      <c r="K9" s="2">
        <f>IF(J9&lt;&gt;"",J9,H9)</f>
        <v/>
      </c>
      <c r="L9" s="2">
        <f>E9-K9</f>
        <v/>
      </c>
      <c r="M9" s="4">
        <f>IF(K9&gt;0,L9/K9,"")</f>
        <v/>
      </c>
    </row>
    <row r="10">
      <c r="A10" t="n">
        <v>9</v>
      </c>
      <c r="B10" t="inlineStr">
        <is>
          <t>Fanatics Collect</t>
        </is>
      </c>
      <c r="C10" t="inlineStr">
        <is>
          <t>1992 Stadium Club Beam Team Michael Jordan #1 PSA 9 MINT</t>
        </is>
      </c>
      <c r="D10" t="inlineStr">
        <is>
          <t>2026-06-14</t>
        </is>
      </c>
      <c r="E10" s="2" t="n">
        <v>2900.84</v>
      </c>
      <c r="F10" s="8" t="n">
        <v>6</v>
      </c>
      <c r="G10" t="inlineStr">
        <is>
          <t>MICHAEL JORDAN 1998-99 Black Diamond #1 Double Red Serial #/3000 PSA 9 Pop 6, 4^</t>
        </is>
      </c>
      <c r="H10" s="2" t="n">
        <v>183.5</v>
      </c>
      <c r="I10" t="n">
        <v>21</v>
      </c>
      <c r="J10" s="9" t="n"/>
      <c r="K10" s="2">
        <f>IF(J10&lt;&gt;"",J10,H10)</f>
        <v/>
      </c>
      <c r="L10" s="2">
        <f>E10-K10</f>
        <v/>
      </c>
      <c r="M10" s="4">
        <f>IF(K10&gt;0,L10/K10,"")</f>
        <v/>
      </c>
    </row>
    <row r="11">
      <c r="A11" t="n">
        <v>10</v>
      </c>
      <c r="B11" t="inlineStr">
        <is>
          <t>Fanatics Collect</t>
        </is>
      </c>
      <c r="C11" t="inlineStr">
        <is>
          <t>2023 Donruss FIFA Optic Ice Lamine Yamal ROOKIE #54 PSA 10 GEM MINT</t>
        </is>
      </c>
      <c r="D11" t="inlineStr">
        <is>
          <t>2026-05-20</t>
        </is>
      </c>
      <c r="E11" s="2" t="n">
        <v>2820</v>
      </c>
      <c r="F11" s="8" t="n">
        <v>6</v>
      </c>
      <c r="G11" t="inlineStr">
        <is>
          <t>2023-24 Crystal Prem UEFA LAMINE YAMAL Rookie Purple Auto RC /99 PSA 10/10 Barca</t>
        </is>
      </c>
      <c r="H11" s="2" t="n">
        <v>2300</v>
      </c>
      <c r="I11" t="n">
        <v>18</v>
      </c>
      <c r="J11" s="9" t="n"/>
      <c r="K11" s="2">
        <f>IF(J11&lt;&gt;"",J11,H11)</f>
        <v/>
      </c>
      <c r="L11" s="2">
        <f>E11-K11</f>
        <v/>
      </c>
      <c r="M11" s="4">
        <f>IF(K11&gt;0,L11/K11,"")</f>
        <v/>
      </c>
    </row>
    <row r="12">
      <c r="A12" t="n">
        <v>11</v>
      </c>
      <c r="B12" t="inlineStr">
        <is>
          <t>Fanatics Collect</t>
        </is>
      </c>
      <c r="C12" t="inlineStr">
        <is>
          <t>2017 Panini Prizm Silver Patrick Mahomes II ROOKIE #269 BGS 9.5 GEM MINT</t>
        </is>
      </c>
      <c r="D12" t="inlineStr">
        <is>
          <t>2026-05-16</t>
        </is>
      </c>
      <c r="E12" s="2" t="n">
        <v>2444</v>
      </c>
      <c r="F12" s="8" t="n">
        <v>6</v>
      </c>
      <c r="G12" t="inlineStr">
        <is>
          <t>2017 Prizm Patrick Mahomes II RC Rookie #269 Chiefs BGS 9.5</t>
        </is>
      </c>
      <c r="H12" s="2" t="n">
        <v>3550</v>
      </c>
      <c r="I12" t="n">
        <v>30</v>
      </c>
      <c r="J12" s="9" t="n"/>
      <c r="K12" s="2">
        <f>IF(J12&lt;&gt;"",J12,H12)</f>
        <v/>
      </c>
      <c r="L12" s="2">
        <f>E12-K12</f>
        <v/>
      </c>
      <c r="M12" s="4">
        <f>IF(K12&gt;0,L12/K12,"")</f>
        <v/>
      </c>
    </row>
    <row r="13">
      <c r="A13" t="n">
        <v>12</v>
      </c>
      <c r="B13" t="inlineStr">
        <is>
          <t>Fanatics Collect</t>
        </is>
      </c>
      <c r="C13" t="inlineStr">
        <is>
          <t>2025 Topps Chrome Silver Pack '80 Gold LeBron James 1/50 #TC-LJ PSA 10 GEM MINT</t>
        </is>
      </c>
      <c r="D13" t="inlineStr">
        <is>
          <t>2026-05-20</t>
        </is>
      </c>
      <c r="E13" s="2" t="n">
        <v>2227.8</v>
      </c>
      <c r="F13" s="8" t="n">
        <v>6</v>
      </c>
      <c r="G13" t="inlineStr">
        <is>
          <t>2025 Topps Chrome Gold Wave #127 LeBron James Lakers 30/50 PSA 10 POP 1</t>
        </is>
      </c>
      <c r="H13" s="2" t="n">
        <v>3582</v>
      </c>
      <c r="I13" t="n">
        <v>25</v>
      </c>
      <c r="J13" s="9" t="n"/>
      <c r="K13" s="2">
        <f>IF(J13&lt;&gt;"",J13,H13)</f>
        <v/>
      </c>
      <c r="L13" s="2">
        <f>E13-K13</f>
        <v/>
      </c>
      <c r="M13" s="4">
        <f>IF(K13&gt;0,L13/K13,"")</f>
        <v/>
      </c>
    </row>
    <row r="14">
      <c r="A14" t="n">
        <v>13</v>
      </c>
      <c r="B14" t="inlineStr">
        <is>
          <t>Fanatics Collect</t>
        </is>
      </c>
      <c r="C14" t="inlineStr">
        <is>
          <t>2024 Panini Eminence Emerald Shai Gilgeous-Alexander AUTO 1/3 #7</t>
        </is>
      </c>
      <c r="D14" t="inlineStr">
        <is>
          <t>2026-04-22</t>
        </is>
      </c>
      <c r="E14" s="2" t="n">
        <v>1903.5</v>
      </c>
      <c r="F14" s="8" t="n">
        <v>6</v>
      </c>
      <c r="G14" t="inlineStr">
        <is>
          <t>2024 PANINI DONRUSS OPTIC DOWNTOWN #7 SHAI GILGEOUS-ALEXANDER PSA 10</t>
        </is>
      </c>
      <c r="H14" s="2" t="n">
        <v>3800</v>
      </c>
      <c r="I14" t="n">
        <v>25</v>
      </c>
      <c r="J14" s="9" t="n"/>
      <c r="K14" s="2">
        <f>IF(J14&lt;&gt;"",J14,H14)</f>
        <v/>
      </c>
      <c r="L14" s="2">
        <f>E14-K14</f>
        <v/>
      </c>
      <c r="M14" s="4">
        <f>IF(K14&gt;0,L14/K14,"")</f>
        <v/>
      </c>
    </row>
    <row r="15">
      <c r="A15" t="n">
        <v>14</v>
      </c>
      <c r="B15" t="inlineStr">
        <is>
          <t>Fanatics Collect</t>
        </is>
      </c>
      <c r="C15" t="inlineStr">
        <is>
          <t>2023 Panini Prizm Red White Blue Victor Wembanyama ROOKIE #136 PSA 10 GEM MINT</t>
        </is>
      </c>
      <c r="D15" t="inlineStr">
        <is>
          <t>2026-06-05</t>
        </is>
      </c>
      <c r="E15" s="2" t="n">
        <v>1848</v>
      </c>
      <c r="F15" s="8" t="n">
        <v>12</v>
      </c>
      <c r="G15" t="inlineStr">
        <is>
          <t>2023 Panini Prizm Victor Wembanyama #136 Green Prizm PSA 10 Rookie RC</t>
        </is>
      </c>
      <c r="H15" s="2" t="n">
        <v>435</v>
      </c>
      <c r="I15" t="n">
        <v>32</v>
      </c>
      <c r="J15" s="9" t="n"/>
      <c r="K15" s="2">
        <f>IF(J15&lt;&gt;"",J15,H15)</f>
        <v/>
      </c>
      <c r="L15" s="2">
        <f>E15-K15</f>
        <v/>
      </c>
      <c r="M15" s="4">
        <f>IF(K15&gt;0,L15/K15,"")</f>
        <v/>
      </c>
    </row>
    <row r="16">
      <c r="A16" t="n">
        <v>15</v>
      </c>
      <c r="B16" t="inlineStr">
        <is>
          <t>Fanatics Collect</t>
        </is>
      </c>
      <c r="C16" t="inlineStr">
        <is>
          <t>2023 Hoops Ignition Holo Victor Wembanyama ROOKIE #20 PSA 10 GEM MINT</t>
        </is>
      </c>
      <c r="D16" t="inlineStr">
        <is>
          <t>2026-06-03</t>
        </is>
      </c>
      <c r="E16" s="2" t="n">
        <v>1759.12</v>
      </c>
      <c r="F16" s="8" t="n">
        <v>12</v>
      </c>
      <c r="G16" t="inlineStr">
        <is>
          <t>2023-24 Panini Select Victor Wembanyama Blue Prizm Holo Rookie #121 RC PSA 10 💙</t>
        </is>
      </c>
      <c r="H16" s="2" t="n">
        <v>129</v>
      </c>
      <c r="I16" t="n">
        <v>20</v>
      </c>
      <c r="J16" s="9" t="n"/>
      <c r="K16" s="2">
        <f>IF(J16&lt;&gt;"",J16,H16)</f>
        <v/>
      </c>
      <c r="L16" s="2">
        <f>E16-K16</f>
        <v/>
      </c>
      <c r="M16" s="4">
        <f>IF(K16&gt;0,L16/K16,"")</f>
        <v/>
      </c>
    </row>
    <row r="17">
      <c r="A17" t="n">
        <v>16</v>
      </c>
      <c r="B17" t="inlineStr">
        <is>
          <t>Fanatics Collect</t>
        </is>
      </c>
      <c r="C17" t="inlineStr">
        <is>
          <t>1992 Stadium Club Beam Team Members Only Parallel Michael Jordan #1 BGS 9 MINT</t>
        </is>
      </c>
      <c r="D17" t="inlineStr">
        <is>
          <t>2026-05-07</t>
        </is>
      </c>
      <c r="E17" s="2" t="n">
        <v>1410</v>
      </c>
      <c r="F17" s="8" t="n">
        <v>6</v>
      </c>
      <c r="G17" t="inlineStr">
        <is>
          <t>1997 FLAIR SC ROW 1 #1 MICHAEL JORDAN BGS 9.5</t>
        </is>
      </c>
      <c r="H17" s="2" t="n">
        <v>4250</v>
      </c>
      <c r="I17" t="n">
        <v>18</v>
      </c>
      <c r="J17" s="9" t="n"/>
      <c r="K17" s="2">
        <f>IF(J17&lt;&gt;"",J17,H17)</f>
        <v/>
      </c>
      <c r="L17" s="2">
        <f>E17-K17</f>
        <v/>
      </c>
      <c r="M17" s="4">
        <f>IF(K17&gt;0,L17/K17,"")</f>
        <v/>
      </c>
    </row>
    <row r="18">
      <c r="A18" t="n">
        <v>17</v>
      </c>
      <c r="B18" t="inlineStr">
        <is>
          <t>Fanatics Collect</t>
        </is>
      </c>
      <c r="C18" t="inlineStr">
        <is>
          <t>2025 Bowman Chrome Speckle Refractor Jesus Made PROSPECT AUTO /299 #CPA-JM PSA 10 GEM MINT</t>
        </is>
      </c>
      <c r="D18" t="inlineStr">
        <is>
          <t>2026-06-05</t>
        </is>
      </c>
      <c r="E18" s="2" t="n">
        <v>1409.06</v>
      </c>
      <c r="F18" s="8" t="n">
        <v>6</v>
      </c>
      <c r="G18" t="inlineStr">
        <is>
          <t>2025 Bowman Chrome Prospect Jesus Made Rookie RC 1st Green Gras /99 Auto PSA 10</t>
        </is>
      </c>
      <c r="H18" s="2" t="n">
        <v>2250</v>
      </c>
      <c r="I18" t="n">
        <v>24</v>
      </c>
      <c r="J18" s="9" t="n"/>
      <c r="K18" s="2">
        <f>IF(J18&lt;&gt;"",J18,H18)</f>
        <v/>
      </c>
      <c r="L18" s="2">
        <f>E18-K18</f>
        <v/>
      </c>
      <c r="M18" s="4">
        <f>IF(K18&gt;0,L18/K18,"")</f>
        <v/>
      </c>
    </row>
    <row r="19">
      <c r="A19" t="n">
        <v>18</v>
      </c>
      <c r="B19" t="inlineStr">
        <is>
          <t>Fanatics Collect</t>
        </is>
      </c>
      <c r="C19" t="inlineStr">
        <is>
          <t>1996 Ultra Full Court Trap Michael Jordan #1 PSA 9 MINT</t>
        </is>
      </c>
      <c r="D19" t="inlineStr">
        <is>
          <t>2026-06-15</t>
        </is>
      </c>
      <c r="E19" s="2" t="n">
        <v>1386.5</v>
      </c>
      <c r="F19" s="8" t="n">
        <v>6</v>
      </c>
      <c r="G19" t="inlineStr">
        <is>
          <t>2013 Exquisite Collection Silver Spectrum #1 Michael Jordan #/10 PSA 9</t>
        </is>
      </c>
      <c r="H19" s="2" t="n">
        <v>1500</v>
      </c>
      <c r="I19" t="n">
        <v>21</v>
      </c>
      <c r="J19" s="9" t="n"/>
      <c r="K19" s="2">
        <f>IF(J19&lt;&gt;"",J19,H19)</f>
        <v/>
      </c>
      <c r="L19" s="2">
        <f>E19-K19</f>
        <v/>
      </c>
      <c r="M19" s="4">
        <f>IF(K19&gt;0,L19/K19,"")</f>
        <v/>
      </c>
    </row>
    <row r="20">
      <c r="A20" t="n">
        <v>19</v>
      </c>
      <c r="B20" t="inlineStr">
        <is>
          <t>Fanatics Collect</t>
        </is>
      </c>
      <c r="C20" t="inlineStr">
        <is>
          <t>2022 Metal Universe Champions Precious Metal Gems PMG Red Michael Jordan /100 #1 PSA 8 NM-MT</t>
        </is>
      </c>
      <c r="D20" t="inlineStr">
        <is>
          <t>2026-06-16</t>
        </is>
      </c>
      <c r="E20" s="2" t="n">
        <v>1381.8</v>
      </c>
      <c r="F20" s="8" t="n">
        <v>6</v>
      </c>
      <c r="G20" t="inlineStr">
        <is>
          <t>1997 FLEER ULTRA STAR POWER #1 MICHAEL JORDAN PSA 8</t>
        </is>
      </c>
      <c r="H20" s="2" t="n">
        <v>98</v>
      </c>
      <c r="I20" t="n">
        <v>21</v>
      </c>
      <c r="J20" s="9" t="n"/>
      <c r="K20" s="2">
        <f>IF(J20&lt;&gt;"",J20,H20)</f>
        <v/>
      </c>
      <c r="L20" s="2">
        <f>E20-K20</f>
        <v/>
      </c>
      <c r="M20" s="4">
        <f>IF(K20&gt;0,L20/K20,"")</f>
        <v/>
      </c>
    </row>
    <row r="21">
      <c r="A21" t="n">
        <v>20</v>
      </c>
      <c r="B21" t="inlineStr">
        <is>
          <t>Fanatics Collect</t>
        </is>
      </c>
      <c r="C21" t="inlineStr">
        <is>
          <t>2023 Panini Prizm Ruby Wave Victor Wembanyama ROOKIE #136 PSA 10 GEM MINT</t>
        </is>
      </c>
      <c r="D21" t="inlineStr">
        <is>
          <t>2026-05-26</t>
        </is>
      </c>
      <c r="E21" s="2" t="n">
        <v>1316</v>
      </c>
      <c r="F21" s="8" t="n">
        <v>6</v>
      </c>
      <c r="G21" t="inlineStr">
        <is>
          <t>VICTOR WEMBANYAMA PSA 10 2023-24 PANINI PRIZM #136 ROOKIE GREEN RC SPURS 725</t>
        </is>
      </c>
      <c r="H21" s="2" t="n">
        <v>450</v>
      </c>
      <c r="I21" t="n">
        <v>32</v>
      </c>
      <c r="J21" s="9" t="n"/>
      <c r="K21" s="2">
        <f>IF(J21&lt;&gt;"",J21,H21)</f>
        <v/>
      </c>
      <c r="L21" s="2">
        <f>E21-K21</f>
        <v/>
      </c>
      <c r="M21" s="4">
        <f>IF(K21&gt;0,L21/K21,"")</f>
        <v/>
      </c>
    </row>
    <row r="22">
      <c r="A22" t="n">
        <v>21</v>
      </c>
      <c r="B22" t="inlineStr">
        <is>
          <t>Fanatics Collect</t>
        </is>
      </c>
      <c r="C22" t="inlineStr">
        <is>
          <t>1996 Bowman's Best Kobe Bryant ROOKIE #R23 PSA 10 GEM MINT</t>
        </is>
      </c>
      <c r="D22" t="inlineStr">
        <is>
          <t>2026-06-02</t>
        </is>
      </c>
      <c r="E22" s="2" t="n">
        <v>1269</v>
      </c>
      <c r="F22" s="8" t="n">
        <v>6</v>
      </c>
      <c r="G22" t="inlineStr">
        <is>
          <t>1996-97 Topps #138 Kobe Bryant RC ROOKIE LAKERS HOF PSA 10 GEM MINT</t>
        </is>
      </c>
      <c r="H22" s="2" t="n">
        <v>1175</v>
      </c>
      <c r="I22" t="n">
        <v>18</v>
      </c>
      <c r="J22" s="9" t="n"/>
      <c r="K22" s="2">
        <f>IF(J22&lt;&gt;"",J22,H22)</f>
        <v/>
      </c>
      <c r="L22" s="2">
        <f>E22-K22</f>
        <v/>
      </c>
      <c r="M22" s="4">
        <f>IF(K22&gt;0,L22/K22,"")</f>
        <v/>
      </c>
    </row>
    <row r="23">
      <c r="A23" t="n">
        <v>22</v>
      </c>
      <c r="B23" t="inlineStr">
        <is>
          <t>Fanatics Collect</t>
        </is>
      </c>
      <c r="C23" t="inlineStr">
        <is>
          <t>1996 Bowman's Best Kobe Bryant ROOKIE #R23 PSA 10 GEM MINT</t>
        </is>
      </c>
      <c r="D23" t="inlineStr">
        <is>
          <t>2026-05-31</t>
        </is>
      </c>
      <c r="E23" s="2" t="n">
        <v>1245.5</v>
      </c>
      <c r="F23" s="8" t="n">
        <v>6</v>
      </c>
      <c r="G23" t="inlineStr">
        <is>
          <t>1996 METAL #181 KOBE BRYANT ROOKIE RC PSA 10</t>
        </is>
      </c>
      <c r="H23" s="2" t="n">
        <v>1375</v>
      </c>
      <c r="I23" t="n">
        <v>18</v>
      </c>
      <c r="J23" s="9" t="n"/>
      <c r="K23" s="2">
        <f>IF(J23&lt;&gt;"",J23,H23)</f>
        <v/>
      </c>
      <c r="L23" s="2">
        <f>E23-K23</f>
        <v/>
      </c>
      <c r="M23" s="4">
        <f>IF(K23&gt;0,L23/K23,"")</f>
        <v/>
      </c>
    </row>
    <row r="24">
      <c r="A24" t="n">
        <v>23</v>
      </c>
      <c r="B24" t="inlineStr">
        <is>
          <t>Fanatics Collect</t>
        </is>
      </c>
      <c r="C24" t="inlineStr">
        <is>
          <t>1996 Bowman's Best Kobe Bryant ROOKIE #R23 PSA 10 GEM MINT</t>
        </is>
      </c>
      <c r="D24" t="inlineStr">
        <is>
          <t>2026-06-11</t>
        </is>
      </c>
      <c r="E24" s="2" t="n">
        <v>1198.5</v>
      </c>
      <c r="F24" s="8" t="n">
        <v>6</v>
      </c>
      <c r="G24" t="inlineStr">
        <is>
          <t>1996-97 Bowman's Best - Rookies Kobe Bryant #R23 (RC) PSA 10</t>
        </is>
      </c>
      <c r="H24" s="2" t="n">
        <v>857</v>
      </c>
      <c r="I24" t="n">
        <v>30</v>
      </c>
      <c r="J24" s="9" t="n"/>
      <c r="K24" s="2">
        <f>IF(J24&lt;&gt;"",J24,H24)</f>
        <v/>
      </c>
      <c r="L24" s="2">
        <f>E24-K24</f>
        <v/>
      </c>
      <c r="M24" s="4">
        <f>IF(K24&gt;0,L24/K24,"")</f>
        <v/>
      </c>
    </row>
    <row r="25">
      <c r="A25" t="n">
        <v>24</v>
      </c>
      <c r="B25" t="inlineStr">
        <is>
          <t>Fanatics Collect</t>
        </is>
      </c>
      <c r="C25" t="inlineStr">
        <is>
          <t>2023 Panini Prizm Pink Ice Victor Wembanyama ROOKIE #136 PSA 10 GEM MINT</t>
        </is>
      </c>
      <c r="D25" t="inlineStr">
        <is>
          <t>2026-06-18</t>
        </is>
      </c>
      <c r="E25" s="2" t="n">
        <v>1175</v>
      </c>
      <c r="F25" s="8" t="n">
        <v>6</v>
      </c>
      <c r="G25" t="inlineStr">
        <is>
          <t>2023 PANINI PRIZM PINK ICE #136 VICTOR WEMBANYAMA ROOKIE RC PSA 10</t>
        </is>
      </c>
      <c r="H25" s="2" t="n">
        <v>600</v>
      </c>
      <c r="I25" t="n">
        <v>34</v>
      </c>
      <c r="J25" s="9" t="n"/>
      <c r="K25" s="2">
        <f>IF(J25&lt;&gt;"",J25,H25)</f>
        <v/>
      </c>
      <c r="L25" s="2">
        <f>E25-K25</f>
        <v/>
      </c>
      <c r="M25" s="4">
        <f>IF(K25&gt;0,L25/K25,"")</f>
        <v/>
      </c>
    </row>
    <row r="26">
      <c r="A26" t="n">
        <v>25</v>
      </c>
      <c r="B26" t="inlineStr">
        <is>
          <t>Fanatics Collect</t>
        </is>
      </c>
      <c r="C26" t="inlineStr">
        <is>
          <t>1996 Bowman's Best Kobe Bryant ROOKIE #R23 PSA 10 GEM MINT</t>
        </is>
      </c>
      <c r="D26" t="inlineStr">
        <is>
          <t>2026-06-11</t>
        </is>
      </c>
      <c r="E26" s="2" t="n">
        <v>1175</v>
      </c>
      <c r="F26" s="8" t="n">
        <v>6</v>
      </c>
      <c r="G26" t="inlineStr">
        <is>
          <t>1996 Bowman's Best RK. Kobe Bryant #R23 PSA 10 RC. Lakers</t>
        </is>
      </c>
      <c r="H26" s="2" t="n">
        <v>800</v>
      </c>
      <c r="I26" t="n">
        <v>28</v>
      </c>
      <c r="J26" s="9" t="n"/>
      <c r="K26" s="2">
        <f>IF(J26&lt;&gt;"",J26,H26)</f>
        <v/>
      </c>
      <c r="L26" s="2">
        <f>E26-K26</f>
        <v/>
      </c>
      <c r="M26" s="4">
        <f>IF(K26&gt;0,L26/K26,"")</f>
        <v/>
      </c>
    </row>
    <row r="27">
      <c r="A27" t="n">
        <v>26</v>
      </c>
      <c r="B27" t="inlineStr">
        <is>
          <t>Fanatics Collect</t>
        </is>
      </c>
      <c r="C27" t="inlineStr">
        <is>
          <t>2018 Panini Revolution Shai Gilgeous-Alexander ROOKIE AUTO #RA-SGA SGC 9.5 MINT+</t>
        </is>
      </c>
      <c r="D27" t="inlineStr">
        <is>
          <t>2026-06-21</t>
        </is>
      </c>
      <c r="E27" s="2" t="n">
        <v>1128</v>
      </c>
      <c r="F27" s="8" t="n">
        <v>6</v>
      </c>
      <c r="G27" t="inlineStr">
        <is>
          <t>2018 Panini Threads Shai Gilgeous-Alexander Rookie Signatures / 11 Auto Prism</t>
        </is>
      </c>
      <c r="H27" s="2" t="n">
        <v>635</v>
      </c>
      <c r="I27" t="n">
        <v>19</v>
      </c>
      <c r="J27" s="9" t="n"/>
      <c r="K27" s="2">
        <f>IF(J27&lt;&gt;"",J27,H27)</f>
        <v/>
      </c>
      <c r="L27" s="2">
        <f>E27-K27</f>
        <v/>
      </c>
      <c r="M27" s="4">
        <f>IF(K27&gt;0,L27/K27,"")</f>
        <v/>
      </c>
    </row>
    <row r="28">
      <c r="A28" t="n">
        <v>27</v>
      </c>
      <c r="B28" t="inlineStr">
        <is>
          <t>Fanatics Collect</t>
        </is>
      </c>
      <c r="C28" t="inlineStr">
        <is>
          <t>1987 Fleer Basketball Michael Jordan #59 PSA 8 NM-MT</t>
        </is>
      </c>
      <c r="D28" t="inlineStr">
        <is>
          <t>2026-05-29</t>
        </is>
      </c>
      <c r="E28" s="2" t="n">
        <v>1081</v>
      </c>
      <c r="F28" s="8" t="n">
        <v>6</v>
      </c>
      <c r="G28" t="inlineStr">
        <is>
          <t>Michael Jordan 2012-13 UD Exquisite Black Signatures Autograph #59/75 BGS 9.5</t>
        </is>
      </c>
      <c r="H28" s="2" t="n">
        <v>5250</v>
      </c>
      <c r="I28" t="n">
        <v>18</v>
      </c>
      <c r="J28" s="9" t="n"/>
      <c r="K28" s="2">
        <f>IF(J28&lt;&gt;"",J28,H28)</f>
        <v/>
      </c>
      <c r="L28" s="2">
        <f>E28-K28</f>
        <v/>
      </c>
      <c r="M28" s="4">
        <f>IF(K28&gt;0,L28/K28,"")</f>
        <v/>
      </c>
    </row>
    <row r="29">
      <c r="A29" t="n">
        <v>28</v>
      </c>
      <c r="B29" t="inlineStr">
        <is>
          <t>Fanatics Collect</t>
        </is>
      </c>
      <c r="C29" t="inlineStr">
        <is>
          <t>2024 Panini Flawless Diamond Gems Emerald LeBron James /5 #39 PSA 9 MINT</t>
        </is>
      </c>
      <c r="D29" t="inlineStr">
        <is>
          <t>2026-05-04</t>
        </is>
      </c>
      <c r="E29" s="2" t="n">
        <v>996.4</v>
      </c>
      <c r="F29" s="8" t="n">
        <v>6</v>
      </c>
      <c r="G29" t="inlineStr">
        <is>
          <t>2024-25 Mosaic LeBron James #286 Green Spectris FOTL City Edition /5 PSA 9 POP 1</t>
        </is>
      </c>
      <c r="H29" s="2" t="n">
        <v>460</v>
      </c>
      <c r="I29" t="n">
        <v>19</v>
      </c>
      <c r="J29" s="9" t="n"/>
      <c r="K29" s="2">
        <f>IF(J29&lt;&gt;"",J29,H29)</f>
        <v/>
      </c>
      <c r="L29" s="2">
        <f>E29-K29</f>
        <v/>
      </c>
      <c r="M29" s="4">
        <f>IF(K29&gt;0,L29/K29,"")</f>
        <v/>
      </c>
    </row>
    <row r="30">
      <c r="A30" t="n">
        <v>29</v>
      </c>
      <c r="B30" t="inlineStr">
        <is>
          <t>Fanatics Collect</t>
        </is>
      </c>
      <c r="C30" t="inlineStr">
        <is>
          <t>2023 Panini Prizm Silver Victor Wembanyama ROOKIE #136 PSA 9 MINT</t>
        </is>
      </c>
      <c r="D30" t="inlineStr">
        <is>
          <t>2026-06-24</t>
        </is>
      </c>
      <c r="E30" s="2" t="n">
        <v>799</v>
      </c>
      <c r="F30" s="8" t="n">
        <v>6</v>
      </c>
      <c r="G30" t="inlineStr">
        <is>
          <t>2023-24 Panini Prizm Victor Wembanyama #136 Silver Prizm Rookie Card RC PSA 10</t>
        </is>
      </c>
      <c r="H30" s="2" t="n">
        <v>1550</v>
      </c>
      <c r="I30" t="n">
        <v>31</v>
      </c>
      <c r="J30" s="9" t="n"/>
      <c r="K30" s="2">
        <f>IF(J30&lt;&gt;"",J30,H30)</f>
        <v/>
      </c>
      <c r="L30" s="2">
        <f>E30-K30</f>
        <v/>
      </c>
      <c r="M30" s="4">
        <f>IF(K30&gt;0,L30/K30,"")</f>
        <v/>
      </c>
    </row>
    <row r="31">
      <c r="A31" t="n">
        <v>30</v>
      </c>
      <c r="B31" t="inlineStr">
        <is>
          <t>Fanatics Collect</t>
        </is>
      </c>
      <c r="C31" t="inlineStr">
        <is>
          <t>2023 Panini Prizm Silver Victor Wembanyama ROOKIE #136 PSA 9 MINT</t>
        </is>
      </c>
      <c r="D31" t="inlineStr">
        <is>
          <t>2026-04-20</t>
        </is>
      </c>
      <c r="E31" s="2" t="n">
        <v>775.5</v>
      </c>
      <c r="F31" s="8" t="n">
        <v>6</v>
      </c>
      <c r="G31" t="inlineStr">
        <is>
          <t>2023-24 Panini Prizm Silver Victor Wembanyama Wemby #136 PSA 10  Rookie RC 💎</t>
        </is>
      </c>
      <c r="H31" s="2" t="n">
        <v>1542</v>
      </c>
      <c r="I31" t="n">
        <v>31</v>
      </c>
      <c r="J31" s="9" t="n"/>
      <c r="K31" s="2">
        <f>IF(J31&lt;&gt;"",J31,H31)</f>
        <v/>
      </c>
      <c r="L31" s="2">
        <f>E31-K31</f>
        <v/>
      </c>
      <c r="M31" s="4">
        <f>IF(K31&gt;0,L31/K31,"")</f>
        <v/>
      </c>
    </row>
    <row r="32">
      <c r="A32" t="n">
        <v>31</v>
      </c>
      <c r="B32" t="inlineStr">
        <is>
          <t>Fanatics Collect</t>
        </is>
      </c>
      <c r="C32" t="inlineStr">
        <is>
          <t>1996 Topps NBA Stars Finest Refractor Michael Jordan #124 PSA 8 NM-MT</t>
        </is>
      </c>
      <c r="D32" t="inlineStr">
        <is>
          <t>2026-06-22</t>
        </is>
      </c>
      <c r="E32" s="2" t="n">
        <v>770.8</v>
      </c>
      <c r="F32" s="8" t="n">
        <v>6</v>
      </c>
      <c r="G32" t="inlineStr">
        <is>
          <t>1996 Topps Stars Michael Jordan Finest Refractor #124 PSA 10</t>
        </is>
      </c>
      <c r="H32" s="2" t="n">
        <v>3050</v>
      </c>
      <c r="I32" t="n">
        <v>29</v>
      </c>
      <c r="J32" s="9" t="n"/>
      <c r="K32" s="2">
        <f>IF(J32&lt;&gt;"",J32,H32)</f>
        <v/>
      </c>
      <c r="L32" s="2">
        <f>E32-K32</f>
        <v/>
      </c>
      <c r="M32" s="4">
        <f>IF(K32&gt;0,L32/K32,"")</f>
        <v/>
      </c>
    </row>
    <row r="33">
      <c r="A33" t="n">
        <v>32</v>
      </c>
      <c r="B33" t="inlineStr">
        <is>
          <t>Fanatics Collect</t>
        </is>
      </c>
      <c r="C33" t="inlineStr">
        <is>
          <t>2024 Topps Chrome Update Celebracion Yoshinobu Yamamoto ROOKIE /99 #18 PSA 10 GEM MINT</t>
        </is>
      </c>
      <c r="D33" t="inlineStr">
        <is>
          <t>2026-05-27</t>
        </is>
      </c>
      <c r="E33" s="2" t="n">
        <v>751.0599999999999</v>
      </c>
      <c r="F33" s="8" t="n">
        <v>6</v>
      </c>
      <c r="G33" t="inlineStr">
        <is>
          <t>Yoshinobu Yamamoto LA Dodgers 2024 Topps Chrome Refractor RC PSA 10 GEM MINT #18</t>
        </is>
      </c>
      <c r="H33" s="2" t="n">
        <v>260</v>
      </c>
      <c r="I33" t="n">
        <v>30</v>
      </c>
      <c r="J33" s="9" t="n"/>
      <c r="K33" s="2">
        <f>IF(J33&lt;&gt;"",J33,H33)</f>
        <v/>
      </c>
      <c r="L33" s="2">
        <f>E33-K33</f>
        <v/>
      </c>
      <c r="M33" s="4">
        <f>IF(K33&gt;0,L33/K33,"")</f>
        <v/>
      </c>
    </row>
    <row r="34">
      <c r="A34" t="n">
        <v>33</v>
      </c>
      <c r="B34" t="inlineStr">
        <is>
          <t>Fanatics Collect</t>
        </is>
      </c>
      <c r="C34" t="inlineStr">
        <is>
          <t>2025 Topps Murakami Tokyo Series Shohei Ohtani #1 PSA 10 GEM MINT</t>
        </is>
      </c>
      <c r="D34" t="inlineStr">
        <is>
          <t>2026-06-02</t>
        </is>
      </c>
      <c r="E34" s="2" t="n">
        <v>695.6</v>
      </c>
      <c r="F34" s="8" t="n">
        <v>6</v>
      </c>
      <c r="G34" t="inlineStr">
        <is>
          <t>2025 Topps Chrome - Shohei Ohtani #1 Purple Refractor 164 /250</t>
        </is>
      </c>
      <c r="H34" s="2" t="n">
        <v>125.5</v>
      </c>
      <c r="I34" t="n">
        <v>25</v>
      </c>
      <c r="J34" s="9" t="n"/>
      <c r="K34" s="2">
        <f>IF(J34&lt;&gt;"",J34,H34)</f>
        <v/>
      </c>
      <c r="L34" s="2">
        <f>E34-K34</f>
        <v/>
      </c>
      <c r="M34" s="4">
        <f>IF(K34&gt;0,L34/K34,"")</f>
        <v/>
      </c>
    </row>
    <row r="35">
      <c r="A35" t="n">
        <v>34</v>
      </c>
      <c r="B35" t="inlineStr">
        <is>
          <t>Fanatics Collect</t>
        </is>
      </c>
      <c r="C35" t="inlineStr">
        <is>
          <t>2021 Panini Flawless Diamond Gems Bronze Shai Gilgeous-Alexander 1/3 #66</t>
        </is>
      </c>
      <c r="D35" t="inlineStr">
        <is>
          <t>2026-05-26</t>
        </is>
      </c>
      <c r="E35" s="2" t="n">
        <v>611</v>
      </c>
      <c r="F35" s="8" t="n">
        <v>6</v>
      </c>
      <c r="G35" t="inlineStr">
        <is>
          <t>2025-26 Topps Finest Shai Gilgeous-Alexander Common Oil Spill Refractor #66</t>
        </is>
      </c>
      <c r="H35" s="2" t="n">
        <v>28</v>
      </c>
      <c r="I35" t="n">
        <v>18</v>
      </c>
      <c r="J35" s="9" t="n"/>
      <c r="K35" s="2">
        <f>IF(J35&lt;&gt;"",J35,H35)</f>
        <v/>
      </c>
      <c r="L35" s="2">
        <f>E35-K35</f>
        <v/>
      </c>
      <c r="M35" s="4">
        <f>IF(K35&gt;0,L35/K35,"")</f>
        <v/>
      </c>
    </row>
    <row r="36">
      <c r="A36" t="n">
        <v>35</v>
      </c>
      <c r="B36" t="inlineStr">
        <is>
          <t>Fanatics Collect</t>
        </is>
      </c>
      <c r="C36" t="inlineStr">
        <is>
          <t>2024 Topps Chrome 50/50 Orange Refractor Shohei Ohtani 25/25 #30 PSA 9 MINT</t>
        </is>
      </c>
      <c r="D36" t="inlineStr">
        <is>
          <t>2026-06-19</t>
        </is>
      </c>
      <c r="E36" s="2" t="n">
        <v>575.28</v>
      </c>
      <c r="F36" s="8" t="n">
        <v>6</v>
      </c>
      <c r="G36" t="inlineStr">
        <is>
          <t>2024 Topps 50/50: Shohei Ohtani Refractor Chrome Red #1/5 Dodgers</t>
        </is>
      </c>
      <c r="H36" s="2" t="n">
        <v>1876</v>
      </c>
      <c r="I36" t="n">
        <v>22</v>
      </c>
      <c r="J36" s="9" t="n"/>
      <c r="K36" s="2">
        <f>IF(J36&lt;&gt;"",J36,H36)</f>
        <v/>
      </c>
      <c r="L36" s="2">
        <f>E36-K36</f>
        <v/>
      </c>
      <c r="M36" s="4">
        <f>IF(K36&gt;0,L36/K36,"")</f>
        <v/>
      </c>
    </row>
    <row r="37">
      <c r="A37" t="n">
        <v>36</v>
      </c>
      <c r="B37" t="inlineStr">
        <is>
          <t>Fanatics Collect</t>
        </is>
      </c>
      <c r="C37" t="inlineStr">
        <is>
          <t>2021 Panini Flawless Ruby Josh Giddey ROOKIE PATCH AUTO /15 #HPA-JGD BGS 9 MINT</t>
        </is>
      </c>
      <c r="D37" t="inlineStr">
        <is>
          <t>2026-06-16</t>
        </is>
      </c>
      <c r="E37" s="2" t="n">
        <v>564</v>
      </c>
      <c r="F37" s="8" t="n">
        <v>6</v>
      </c>
      <c r="G37" t="inlineStr">
        <is>
          <t>2021-22 Prizm Josh Giddey Rookie Penmanship RC Prizm Silver Auto #RP-JGD BGS 9</t>
        </is>
      </c>
      <c r="H37" s="2" t="n">
        <v>92</v>
      </c>
      <c r="I37" t="n">
        <v>20</v>
      </c>
      <c r="J37" s="9" t="n"/>
      <c r="K37" s="2">
        <f>IF(J37&lt;&gt;"",J37,H37)</f>
        <v/>
      </c>
      <c r="L37" s="2">
        <f>E37-K37</f>
        <v/>
      </c>
      <c r="M37" s="4">
        <f>IF(K37&gt;0,L37/K37,"")</f>
        <v/>
      </c>
    </row>
    <row r="38">
      <c r="A38" t="n">
        <v>37</v>
      </c>
      <c r="B38" t="inlineStr">
        <is>
          <t>Fanatics Collect</t>
        </is>
      </c>
      <c r="C38" t="inlineStr">
        <is>
          <t>2024 Panini Flawless Leaders Diamond Gems Fuchsia LeBron James 1/3 #156</t>
        </is>
      </c>
      <c r="D38" t="inlineStr">
        <is>
          <t>2026-05-04</t>
        </is>
      </c>
      <c r="E38" s="2" t="n">
        <v>564</v>
      </c>
      <c r="F38" s="8" t="n">
        <v>6</v>
      </c>
      <c r="G38" t="inlineStr">
        <is>
          <t>2024-25 Flawless LeBron James Leaders Fuchsia #1/3 Lakers</t>
        </is>
      </c>
      <c r="H38" s="2" t="n">
        <v>1275</v>
      </c>
      <c r="I38" t="n">
        <v>20</v>
      </c>
      <c r="J38" s="9" t="n"/>
      <c r="K38" s="2">
        <f>IF(J38&lt;&gt;"",J38,H38)</f>
        <v/>
      </c>
      <c r="L38" s="2">
        <f>E38-K38</f>
        <v/>
      </c>
      <c r="M38" s="4">
        <f>IF(K38&gt;0,L38/K38,"")</f>
        <v/>
      </c>
    </row>
    <row r="39">
      <c r="A39" t="n">
        <v>38</v>
      </c>
      <c r="B39" t="inlineStr">
        <is>
          <t>Fanatics Collect</t>
        </is>
      </c>
      <c r="C39" t="inlineStr">
        <is>
          <t>2018 Panini Prizm Green Luka Doncic ROOKIE #280 PSA 10 GEM MINT</t>
        </is>
      </c>
      <c r="D39" t="inlineStr">
        <is>
          <t>2026-06-21</t>
        </is>
      </c>
      <c r="E39" s="2" t="n">
        <v>540.5</v>
      </c>
      <c r="F39" s="8" t="n">
        <v>6</v>
      </c>
      <c r="G39" t="inlineStr">
        <is>
          <t>46047371 Luka Doncic 2018 Panini Prizm #280 Silver Rookie RC PSA 10</t>
        </is>
      </c>
      <c r="H39" s="2" t="n">
        <v>1405</v>
      </c>
      <c r="I39" t="n">
        <v>32</v>
      </c>
      <c r="J39" s="9" t="n"/>
      <c r="K39" s="2">
        <f>IF(J39&lt;&gt;"",J39,H39)</f>
        <v/>
      </c>
      <c r="L39" s="2">
        <f>E39-K39</f>
        <v/>
      </c>
      <c r="M39" s="4">
        <f>IF(K39&gt;0,L39/K39,"")</f>
        <v/>
      </c>
    </row>
    <row r="40">
      <c r="A40" t="n">
        <v>39</v>
      </c>
      <c r="B40" t="inlineStr">
        <is>
          <t>Fanatics Collect</t>
        </is>
      </c>
      <c r="C40" t="inlineStr">
        <is>
          <t>2020 Panini Crown Royale Crystal Black FOTL Stephen Curry /4 #38 PSA 9 MINT</t>
        </is>
      </c>
      <c r="D40" t="inlineStr">
        <is>
          <t>2026-06-06</t>
        </is>
      </c>
      <c r="E40" s="2" t="n">
        <v>540.5</v>
      </c>
      <c r="F40" s="8" t="n">
        <v>6</v>
      </c>
      <c r="G40" t="inlineStr">
        <is>
          <t>2020 PANINI MOSAIC STARE MASTERS GOLD MOSAIC #7 STEPHEN CURRY 7/10 PSA 9</t>
        </is>
      </c>
      <c r="H40" s="2" t="n">
        <v>197.5</v>
      </c>
      <c r="I40" t="n">
        <v>18</v>
      </c>
      <c r="J40" s="9" t="n"/>
      <c r="K40" s="2">
        <f>IF(J40&lt;&gt;"",J40,H40)</f>
        <v/>
      </c>
      <c r="L40" s="2">
        <f>E40-K40</f>
        <v/>
      </c>
      <c r="M40" s="4">
        <f>IF(K40&gt;0,L40/K40,"")</f>
        <v/>
      </c>
    </row>
    <row r="41">
      <c r="A41" t="n">
        <v>40</v>
      </c>
      <c r="B41" t="inlineStr">
        <is>
          <t>Fanatics Collect</t>
        </is>
      </c>
      <c r="C41" t="inlineStr">
        <is>
          <t>2025 Topps MLB MVP Collection Black Foil Shohei Ohtani /10 #7</t>
        </is>
      </c>
      <c r="D41" t="inlineStr">
        <is>
          <t>2026-06-17</t>
        </is>
      </c>
      <c r="E41" s="2" t="n">
        <v>526.4</v>
      </c>
      <c r="F41" s="8" t="n">
        <v>6</v>
      </c>
      <c r="G41" t="inlineStr">
        <is>
          <t>2025 Topps Cosmic Chrome Shohei Ohtani Light Speed Black Refractor #/10 Dodgers</t>
        </is>
      </c>
      <c r="H41" s="2" t="n">
        <v>1426</v>
      </c>
      <c r="I41" t="n">
        <v>20</v>
      </c>
      <c r="J41" s="9" t="n"/>
      <c r="K41" s="2">
        <f>IF(J41&lt;&gt;"",J41,H41)</f>
        <v/>
      </c>
      <c r="L41" s="2">
        <f>E41-K41</f>
        <v/>
      </c>
      <c r="M41" s="4">
        <f>IF(K41&gt;0,L41/K41,"")</f>
        <v/>
      </c>
    </row>
    <row r="42">
      <c r="A42" t="n">
        <v>41</v>
      </c>
      <c r="B42" t="inlineStr">
        <is>
          <t>Fanatics Collect</t>
        </is>
      </c>
      <c r="C42" t="inlineStr">
        <is>
          <t>2024 Panini Revolution Kaboom Horizontal Jaylen Brown #6 CGC AUTH</t>
        </is>
      </c>
      <c r="D42" t="inlineStr">
        <is>
          <t>2026-04-02</t>
        </is>
      </c>
      <c r="E42" s="2" t="n">
        <v>501.6</v>
      </c>
      <c r="F42" s="8" t="n">
        <v>12</v>
      </c>
      <c r="G42" t="inlineStr">
        <is>
          <t>2024-25 Panini Revolution Boston Celtics Jaylen Brown Horizontal KABOOM! #6 SSP</t>
        </is>
      </c>
      <c r="H42" s="2" t="n">
        <v>775</v>
      </c>
      <c r="I42" t="n">
        <v>29</v>
      </c>
      <c r="J42" s="9" t="n"/>
      <c r="K42" s="2">
        <f>IF(J42&lt;&gt;"",J42,H42)</f>
        <v/>
      </c>
      <c r="L42" s="2">
        <f>E42-K42</f>
        <v/>
      </c>
      <c r="M42" s="4">
        <f>IF(K42&gt;0,L42/K42,"")</f>
        <v/>
      </c>
    </row>
    <row r="43">
      <c r="A43" t="n">
        <v>42</v>
      </c>
      <c r="B43" t="inlineStr">
        <is>
          <t>Fanatics Collect</t>
        </is>
      </c>
      <c r="C43" t="inlineStr">
        <is>
          <t>2024 Topps Chrome 50/50 Gold Refractor Shohei Ohtani /50 #73 PSA 9 MINT</t>
        </is>
      </c>
      <c r="D43" t="inlineStr">
        <is>
          <t>2026-06-12</t>
        </is>
      </c>
      <c r="E43" s="2" t="n">
        <v>462.48</v>
      </c>
      <c r="F43" s="8" t="n">
        <v>6</v>
      </c>
      <c r="G43" t="inlineStr">
        <is>
          <t>2024 Topps 50/50: Shohei Ohtani Refractor Chrome Rose Gold #5/17 Dodgers</t>
        </is>
      </c>
      <c r="H43" s="2" t="n">
        <v>510</v>
      </c>
      <c r="I43" t="n">
        <v>24</v>
      </c>
      <c r="J43" s="9" t="n"/>
      <c r="K43" s="2">
        <f>IF(J43&lt;&gt;"",J43,H43)</f>
        <v/>
      </c>
      <c r="L43" s="2">
        <f>E43-K43</f>
        <v/>
      </c>
      <c r="M43" s="4">
        <f>IF(K43&gt;0,L43/K43,"")</f>
        <v/>
      </c>
    </row>
    <row r="44">
      <c r="A44" t="n">
        <v>43</v>
      </c>
      <c r="B44" t="inlineStr">
        <is>
          <t>Fanatics Collect</t>
        </is>
      </c>
      <c r="C44" t="inlineStr">
        <is>
          <t>2025 Topps Chrome Black Refractor Jalen Brunson /10 #101 CGC AUTH</t>
        </is>
      </c>
      <c r="D44" t="inlineStr">
        <is>
          <t>2026-05-10</t>
        </is>
      </c>
      <c r="E44" s="2" t="n">
        <v>439.12</v>
      </c>
      <c r="F44" s="8" t="n">
        <v>12</v>
      </c>
      <c r="G44" t="inlineStr">
        <is>
          <t>2025-26 Topps Chrome Jalen Brunson Black Refractor #5/10 Knicks</t>
        </is>
      </c>
      <c r="H44" s="2" t="n">
        <v>338</v>
      </c>
      <c r="I44" t="n">
        <v>24</v>
      </c>
      <c r="J44" s="9" t="n"/>
      <c r="K44" s="2">
        <f>IF(J44&lt;&gt;"",J44,H44)</f>
        <v/>
      </c>
      <c r="L44" s="2">
        <f>E44-K44</f>
        <v/>
      </c>
      <c r="M44" s="4">
        <f>IF(K44&gt;0,L44/K44,"")</f>
        <v/>
      </c>
    </row>
    <row r="45">
      <c r="A45" t="n">
        <v>44</v>
      </c>
      <c r="B45" t="inlineStr">
        <is>
          <t>Fanatics Collect</t>
        </is>
      </c>
      <c r="C45" t="inlineStr">
        <is>
          <t>2017 Prizm Instant Impact Patrick Mahomes II ROOKIE #8 PSA 10 GEM MINT</t>
        </is>
      </c>
      <c r="D45" t="inlineStr">
        <is>
          <t>2026-06-15</t>
        </is>
      </c>
      <c r="E45" s="2" t="n">
        <v>430.52</v>
      </c>
      <c r="F45" s="8" t="n">
        <v>6</v>
      </c>
      <c r="G45" t="inlineStr">
        <is>
          <t>PATRICK MAHOMES II PSA 10 2017 DONRUSS OPTIC #177 RED YELLOW RC RATED ROOKIE</t>
        </is>
      </c>
      <c r="H45" s="2" t="n">
        <v>2247</v>
      </c>
      <c r="I45" t="n">
        <v>18</v>
      </c>
      <c r="J45" s="9" t="n"/>
      <c r="K45" s="2">
        <f>IF(J45&lt;&gt;"",J45,H45)</f>
        <v/>
      </c>
      <c r="L45" s="2">
        <f>E45-K45</f>
        <v/>
      </c>
      <c r="M45" s="4">
        <f>IF(K45&gt;0,L45/K45,"")</f>
        <v/>
      </c>
    </row>
    <row r="46">
      <c r="A46" t="n">
        <v>45</v>
      </c>
      <c r="B46" t="inlineStr">
        <is>
          <t>Fanatics Collect</t>
        </is>
      </c>
      <c r="C46" t="inlineStr">
        <is>
          <t>2003 eTopps Basketball LeBron James ROOKIE #43 PSA 9 MINT</t>
        </is>
      </c>
      <c r="D46" t="inlineStr">
        <is>
          <t>2026-06-19</t>
        </is>
      </c>
      <c r="E46" s="2" t="n">
        <v>412.66</v>
      </c>
      <c r="F46" s="8" t="n">
        <v>6</v>
      </c>
      <c r="G46" t="inlineStr">
        <is>
          <t>2019-20 Spectra Interstellar SP /49 #43 Lebron James PSA 9 POP 5 R6220J</t>
        </is>
      </c>
      <c r="H46" s="2" t="n">
        <v>100</v>
      </c>
      <c r="I46" t="n">
        <v>21</v>
      </c>
      <c r="J46" s="9" t="n"/>
      <c r="K46" s="2">
        <f>IF(J46&lt;&gt;"",J46,H46)</f>
        <v/>
      </c>
      <c r="L46" s="2">
        <f>E46-K46</f>
        <v/>
      </c>
      <c r="M46" s="4">
        <f>IF(K46&gt;0,L46/K46,"")</f>
        <v/>
      </c>
    </row>
    <row r="47">
      <c r="A47" t="n">
        <v>46</v>
      </c>
      <c r="B47" t="inlineStr">
        <is>
          <t>Fanatics Collect</t>
        </is>
      </c>
      <c r="C47" t="inlineStr">
        <is>
          <t>2020 Panini Prizm Fast Break Variation Anthony Edwards ROOKIE #258 PSA 10 GEM</t>
        </is>
      </c>
      <c r="D47" t="inlineStr">
        <is>
          <t>2026-06-16</t>
        </is>
      </c>
      <c r="E47" s="2" t="n">
        <v>399.5</v>
      </c>
      <c r="F47" s="8" t="n">
        <v>6</v>
      </c>
      <c r="G47" t="inlineStr">
        <is>
          <t>2020-21 Panini Prizm - Anthony Edwards #258 Orange Ice Prizm (RC) PSA 10 Rookie</t>
        </is>
      </c>
      <c r="H47" s="2" t="n">
        <v>439</v>
      </c>
      <c r="I47" t="n">
        <v>32</v>
      </c>
      <c r="J47" s="9" t="n"/>
      <c r="K47" s="2">
        <f>IF(J47&lt;&gt;"",J47,H47)</f>
        <v/>
      </c>
      <c r="L47" s="2">
        <f>E47-K47</f>
        <v/>
      </c>
      <c r="M47" s="4">
        <f>IF(K47&gt;0,L47/K47,"")</f>
        <v/>
      </c>
    </row>
    <row r="48">
      <c r="A48" t="n">
        <v>47</v>
      </c>
      <c r="B48" t="inlineStr">
        <is>
          <t>Fanatics Collect</t>
        </is>
      </c>
      <c r="C48" t="inlineStr">
        <is>
          <t>2025 Topps Now Green Foil Victor Wembanyama /99 #49 PSA 10 GEM MINT</t>
        </is>
      </c>
      <c r="D48" t="inlineStr">
        <is>
          <t>2026-06-04</t>
        </is>
      </c>
      <c r="E48" s="2" t="n">
        <v>396</v>
      </c>
      <c r="F48" s="8" t="n">
        <v>12</v>
      </c>
      <c r="G48" t="inlineStr">
        <is>
          <t>VICTOR WEMBANYAMA 2025-26 TOPPS CHROME VOICES GREEN GEOMETRIC 99/99</t>
        </is>
      </c>
      <c r="H48" s="2" t="n">
        <v>76</v>
      </c>
      <c r="I48" t="n">
        <v>20</v>
      </c>
      <c r="J48" s="9" t="n"/>
      <c r="K48" s="2">
        <f>IF(J48&lt;&gt;"",J48,H48)</f>
        <v/>
      </c>
      <c r="L48" s="2">
        <f>E48-K48</f>
        <v/>
      </c>
      <c r="M48" s="4">
        <f>IF(K48&gt;0,L48/K48,"")</f>
        <v/>
      </c>
    </row>
    <row r="49">
      <c r="A49" t="n">
        <v>48</v>
      </c>
      <c r="B49" t="inlineStr">
        <is>
          <t>Fanatics Collect</t>
        </is>
      </c>
      <c r="C49" t="inlineStr">
        <is>
          <t>2024 Topps Chrome 50/50 Green Refractor Shohei Ohtani /99 #14 BGS 9.5 GEM MINT</t>
        </is>
      </c>
      <c r="D49" t="inlineStr">
        <is>
          <t>2026-05-28</t>
        </is>
      </c>
      <c r="E49" s="2" t="n">
        <v>394.8</v>
      </c>
      <c r="F49" s="8" t="n">
        <v>6</v>
      </c>
      <c r="G49" t="inlineStr">
        <is>
          <t>💙 2024 Topps 50/50 Chrome Shohei Ohtani 89 Gold 17/50 PSA9 Jersey Numbered 1/1</t>
        </is>
      </c>
      <c r="H49" s="2" t="n">
        <v>510</v>
      </c>
      <c r="I49" t="n">
        <v>20</v>
      </c>
      <c r="J49" s="9" t="n"/>
      <c r="K49" s="2">
        <f>IF(J49&lt;&gt;"",J49,H49)</f>
        <v/>
      </c>
      <c r="L49" s="2">
        <f>E49-K49</f>
        <v/>
      </c>
      <c r="M49" s="4">
        <f>IF(K49&gt;0,L49/K49,"")</f>
        <v/>
      </c>
    </row>
    <row r="50">
      <c r="A50" t="n">
        <v>49</v>
      </c>
      <c r="B50" t="inlineStr">
        <is>
          <t>Fanatics Collect</t>
        </is>
      </c>
      <c r="C50" t="inlineStr">
        <is>
          <t>2023 Panini Flawless Aquamarine Gems Jalen Hurts 2/2 #53</t>
        </is>
      </c>
      <c r="D50" t="inlineStr">
        <is>
          <t>2026-04-12</t>
        </is>
      </c>
      <c r="E50" s="2" t="n">
        <v>375.06</v>
      </c>
      <c r="F50" s="8" t="n">
        <v>6</v>
      </c>
      <c r="G50" t="inlineStr">
        <is>
          <t>2023 Panini Flawless Jalen Hurts Aquamarine #2/2 Eagles</t>
        </is>
      </c>
      <c r="H50" s="2" t="n">
        <v>231.5</v>
      </c>
      <c r="I50" t="n">
        <v>22</v>
      </c>
      <c r="J50" s="9" t="n"/>
      <c r="K50" s="2">
        <f>IF(J50&lt;&gt;"",J50,H50)</f>
        <v/>
      </c>
      <c r="L50" s="2">
        <f>E50-K50</f>
        <v/>
      </c>
      <c r="M50" s="4">
        <f>IF(K50&gt;0,L50/K50,"")</f>
        <v/>
      </c>
    </row>
    <row r="51">
      <c r="A51" t="n">
        <v>50</v>
      </c>
      <c r="B51" t="inlineStr">
        <is>
          <t>Fanatics Collect</t>
        </is>
      </c>
      <c r="C51" t="inlineStr">
        <is>
          <t>1997 Finest Basketball Michael Jordan #39 PSA 10 GEM MINT</t>
        </is>
      </c>
      <c r="D51" t="inlineStr">
        <is>
          <t>2026-06-23</t>
        </is>
      </c>
      <c r="E51" s="2" t="n">
        <v>372.24</v>
      </c>
      <c r="F51" s="8" t="n">
        <v>6</v>
      </c>
      <c r="G51" t="inlineStr">
        <is>
          <t>1997-98 Finest Michael Jordan Refractor Bronze #39 Bulls BGS 9.5</t>
        </is>
      </c>
      <c r="H51" s="2" t="n">
        <v>960</v>
      </c>
      <c r="I51" t="n">
        <v>25</v>
      </c>
      <c r="J51" s="9" t="n"/>
      <c r="K51" s="2">
        <f>IF(J51&lt;&gt;"",J51,H51)</f>
        <v/>
      </c>
      <c r="L51" s="2">
        <f>E51-K51</f>
        <v/>
      </c>
      <c r="M51" s="4">
        <f>IF(K51&gt;0,L51/K51,"")</f>
        <v/>
      </c>
    </row>
    <row r="52">
      <c r="A52" t="n">
        <v>51</v>
      </c>
      <c r="B52" t="inlineStr">
        <is>
          <t>Fanatics Collect</t>
        </is>
      </c>
      <c r="C52" t="inlineStr">
        <is>
          <t>2024 Panini Revolution Kaboom Horizontal Ja Morant #11 CGC AUTH</t>
        </is>
      </c>
      <c r="D52" t="inlineStr">
        <is>
          <t>2026-04-12</t>
        </is>
      </c>
      <c r="E52" s="2" t="n">
        <v>352</v>
      </c>
      <c r="F52" s="8" t="n">
        <v>12</v>
      </c>
      <c r="G52" t="inlineStr">
        <is>
          <t>2024-25 Panini Revolution #11 Ja Morant - KABOOM Horizontal SSP Case Hit</t>
        </is>
      </c>
      <c r="H52" s="2" t="n">
        <v>475</v>
      </c>
      <c r="I52" t="n">
        <v>29</v>
      </c>
      <c r="J52" s="9" t="n"/>
      <c r="K52" s="2">
        <f>IF(J52&lt;&gt;"",J52,H52)</f>
        <v/>
      </c>
      <c r="L52" s="2">
        <f>E52-K52</f>
        <v/>
      </c>
      <c r="M52" s="4">
        <f>IF(K52&gt;0,L52/K52,"")</f>
        <v/>
      </c>
    </row>
    <row r="53">
      <c r="A53" t="n">
        <v>52</v>
      </c>
      <c r="B53" t="inlineStr">
        <is>
          <t>Fanatics Collect</t>
        </is>
      </c>
      <c r="C53" t="inlineStr">
        <is>
          <t>2008 Topps Chrome LeBron James #23 PSA 9 MINT</t>
        </is>
      </c>
      <c r="D53" t="inlineStr">
        <is>
          <t>2026-05-26</t>
        </is>
      </c>
      <c r="E53" s="2" t="n">
        <v>300.8</v>
      </c>
      <c r="F53" s="8" t="n">
        <v>6</v>
      </c>
      <c r="G53" t="inlineStr">
        <is>
          <t>2004 Topps Bowman Chrome LeBron James #23 Refractor Cavaliers /300 PSA 9 Mint</t>
        </is>
      </c>
      <c r="H53" s="2" t="n">
        <v>987.99</v>
      </c>
      <c r="I53" t="n">
        <v>25</v>
      </c>
      <c r="J53" s="9" t="n"/>
      <c r="K53" s="2">
        <f>IF(J53&lt;&gt;"",J53,H53)</f>
        <v/>
      </c>
      <c r="L53" s="2">
        <f>E53-K53</f>
        <v/>
      </c>
      <c r="M53" s="4">
        <f>IF(K53&gt;0,L53/K53,"")</f>
        <v/>
      </c>
    </row>
    <row r="54">
      <c r="A54" t="n">
        <v>53</v>
      </c>
      <c r="B54" t="inlineStr">
        <is>
          <t>Fanatics Collect</t>
        </is>
      </c>
      <c r="C54" t="inlineStr">
        <is>
          <t>2025 Topps Chrome Rock Stars Die-Cut LeBron James #RS-3 CGC AUTH</t>
        </is>
      </c>
      <c r="D54" t="inlineStr">
        <is>
          <t>2026-04-29</t>
        </is>
      </c>
      <c r="E54" s="2" t="n">
        <v>282</v>
      </c>
      <c r="F54" s="8" t="n">
        <v>6</v>
      </c>
      <c r="G54" t="inlineStr">
        <is>
          <t>2025-26 Topps Chrome LeBron James #RS-3 Die Cut Rock Stars Case Hit SSP &amp;01112</t>
        </is>
      </c>
      <c r="H54" s="2" t="n">
        <v>328</v>
      </c>
      <c r="I54" t="n">
        <v>29</v>
      </c>
      <c r="J54" s="9" t="n"/>
      <c r="K54" s="2">
        <f>IF(J54&lt;&gt;"",J54,H54)</f>
        <v/>
      </c>
      <c r="L54" s="2">
        <f>E54-K54</f>
        <v/>
      </c>
      <c r="M54" s="4">
        <f>IF(K54&gt;0,L54/K54,"")</f>
        <v/>
      </c>
    </row>
    <row r="55">
      <c r="A55" t="n">
        <v>54</v>
      </c>
      <c r="B55" t="inlineStr">
        <is>
          <t>Fanatics Collect</t>
        </is>
      </c>
      <c r="C55" t="inlineStr">
        <is>
          <t>2025 Topps Chrome Orange Refractor Donovan Mitchell AUTO /25 #TCA-DM CGC AUTH</t>
        </is>
      </c>
      <c r="D55" t="inlineStr">
        <is>
          <t>2026-04-14</t>
        </is>
      </c>
      <c r="E55" s="2" t="n">
        <v>220</v>
      </c>
      <c r="F55" s="8" t="n">
        <v>12</v>
      </c>
      <c r="G55" t="inlineStr">
        <is>
          <t>2025-26 Topps Chrome Donovan Mitchell #TCA-DM Orange Refractor Auto /25</t>
        </is>
      </c>
      <c r="H55" s="2" t="n">
        <v>191.5</v>
      </c>
      <c r="I55" t="n">
        <v>26</v>
      </c>
      <c r="J55" s="9" t="n"/>
      <c r="K55" s="2">
        <f>IF(J55&lt;&gt;"",J55,H55)</f>
        <v/>
      </c>
      <c r="L55" s="2">
        <f>E55-K55</f>
        <v/>
      </c>
      <c r="M55" s="4">
        <f>IF(K55&gt;0,L55/K55,"")</f>
        <v/>
      </c>
    </row>
    <row r="56">
      <c r="A56" t="n">
        <v>55</v>
      </c>
      <c r="B56" t="inlineStr">
        <is>
          <t>Fanatics Collect</t>
        </is>
      </c>
      <c r="C56" t="inlineStr">
        <is>
          <t>1998 Upper Deck MJx Michael Jordan #31 PSA 10 GEM MINT</t>
        </is>
      </c>
      <c r="D56" t="inlineStr">
        <is>
          <t>2026-06-04</t>
        </is>
      </c>
      <c r="E56" s="2" t="n">
        <v>209.62</v>
      </c>
      <c r="F56" s="8" t="n">
        <v>6</v>
      </c>
      <c r="G56" t="inlineStr">
        <is>
          <t>1998-99 Upper Deck Ovation - Michael Jordan #7 PSA 10</t>
        </is>
      </c>
      <c r="H56" s="2" t="n">
        <v>400</v>
      </c>
      <c r="I56" t="n">
        <v>18</v>
      </c>
      <c r="J56" s="9" t="n"/>
      <c r="K56" s="2">
        <f>IF(J56&lt;&gt;"",J56,H56)</f>
        <v/>
      </c>
      <c r="L56" s="2">
        <f>E56-K56</f>
        <v/>
      </c>
      <c r="M56" s="4">
        <f>IF(K56&gt;0,L56/K56,"")</f>
        <v/>
      </c>
    </row>
    <row r="57">
      <c r="A57" t="n">
        <v>56</v>
      </c>
      <c r="B57" t="inlineStr">
        <is>
          <t>Fanatics Collect</t>
        </is>
      </c>
      <c r="C57" t="inlineStr">
        <is>
          <t>2024 Topps Now MLS Stephen Curry &amp; Lionel Messi #128 PSA 10 GEM MINT</t>
        </is>
      </c>
      <c r="D57" t="inlineStr">
        <is>
          <t>2026-06-08</t>
        </is>
      </c>
      <c r="E57" s="2" t="n">
        <v>188</v>
      </c>
      <c r="F57" s="8" t="n">
        <v>6</v>
      </c>
      <c r="G57" t="inlineStr">
        <is>
          <t>2024 Topps Now MLS Stephen Curry/Lionel Messi #128 Night PSA 10 GEM MT &amp;03228</t>
        </is>
      </c>
      <c r="H57" s="2" t="n">
        <v>185</v>
      </c>
      <c r="I57" t="n">
        <v>28</v>
      </c>
      <c r="J57" s="9" t="n"/>
      <c r="K57" s="2">
        <f>IF(J57&lt;&gt;"",J57,H57)</f>
        <v/>
      </c>
      <c r="L57" s="2">
        <f>E57-K57</f>
        <v/>
      </c>
      <c r="M57" s="4">
        <f>IF(K57&gt;0,L57/K57,"")</f>
        <v/>
      </c>
    </row>
    <row r="58">
      <c r="A58" t="n">
        <v>57</v>
      </c>
      <c r="B58" t="inlineStr">
        <is>
          <t>Fanatics Collect</t>
        </is>
      </c>
      <c r="C58" t="inlineStr">
        <is>
          <t>2023 Hoops Holo Candy Victor Wembanyama ROOKIE #108 PSA 9 MINT</t>
        </is>
      </c>
      <c r="D58" t="inlineStr">
        <is>
          <t>2026-06-23</t>
        </is>
      </c>
      <c r="E58" s="2" t="n">
        <v>176</v>
      </c>
      <c r="F58" s="8" t="n">
        <v>12</v>
      </c>
      <c r="G58" t="inlineStr">
        <is>
          <t>2023-24 Topps Now Autographs 47/99 Victor Wembanyama Rookie Auto PSA 9 JW1</t>
        </is>
      </c>
      <c r="H58" s="2" t="n">
        <v>2050</v>
      </c>
      <c r="I58" t="n">
        <v>18</v>
      </c>
      <c r="J58" s="9" t="n"/>
      <c r="K58" s="2">
        <f>IF(J58&lt;&gt;"",J58,H58)</f>
        <v/>
      </c>
      <c r="L58" s="2">
        <f>E58-K58</f>
        <v/>
      </c>
      <c r="M58" s="4">
        <f>IF(K58&gt;0,L58/K58,"")</f>
        <v/>
      </c>
    </row>
    <row r="59">
      <c r="A59" t="n">
        <v>58</v>
      </c>
      <c r="B59" t="inlineStr">
        <is>
          <t>Fanatics Collect</t>
        </is>
      </c>
      <c r="C59" t="inlineStr">
        <is>
          <t>2025 Topps Chrome Loading Purple Refractor Cooper Flagg ROOKIE /75 #LD-11 CGC AUTH</t>
        </is>
      </c>
      <c r="D59" t="inlineStr">
        <is>
          <t>2026-04-06</t>
        </is>
      </c>
      <c r="E59" s="2" t="n">
        <v>176</v>
      </c>
      <c r="F59" s="8" t="n">
        <v>12</v>
      </c>
      <c r="G59" t="inlineStr">
        <is>
          <t>2025-26 Topps Chrome Purple Refractor Loading Rookie RC Cooper Flagg /75</t>
        </is>
      </c>
      <c r="H59" s="2" t="n">
        <v>150.5</v>
      </c>
      <c r="I59" t="n">
        <v>26</v>
      </c>
      <c r="J59" s="9" t="n"/>
      <c r="K59" s="2">
        <f>IF(J59&lt;&gt;"",J59,H59)</f>
        <v/>
      </c>
      <c r="L59" s="2">
        <f>E59-K59</f>
        <v/>
      </c>
      <c r="M59" s="4">
        <f>IF(K59&gt;0,L59/K59,"")</f>
        <v/>
      </c>
    </row>
    <row r="60">
      <c r="A60" t="n">
        <v>59</v>
      </c>
      <c r="B60" t="inlineStr">
        <is>
          <t>Fanatics Collect</t>
        </is>
      </c>
      <c r="C60" t="inlineStr">
        <is>
          <t>2025 Topps Chrome Cosmic Green Space Dust Refractor Paul Skenes /75 #100 CGC AUTH</t>
        </is>
      </c>
      <c r="D60" t="inlineStr">
        <is>
          <t>2026-05-08</t>
        </is>
      </c>
      <c r="E60" s="2" t="n">
        <v>115.28</v>
      </c>
      <c r="F60" s="8" t="n">
        <v>12</v>
      </c>
      <c r="G60" t="inlineStr">
        <is>
          <t>Paul Skenes 2025 Topps Chrome Cosmic Green /75 Pittsburgh Pirates</t>
        </is>
      </c>
      <c r="H60" s="2" t="n">
        <v>155</v>
      </c>
      <c r="I60" t="n">
        <v>24</v>
      </c>
      <c r="J60" s="9" t="n"/>
      <c r="K60" s="2">
        <f>IF(J60&lt;&gt;"",J60,H60)</f>
        <v/>
      </c>
      <c r="L60" s="2">
        <f>E60-K60</f>
        <v/>
      </c>
      <c r="M60" s="4">
        <f>IF(K60&gt;0,L60/K60,"")</f>
        <v/>
      </c>
    </row>
    <row r="61">
      <c r="A61" t="n">
        <v>60</v>
      </c>
      <c r="B61" t="inlineStr">
        <is>
          <t>Fanatics Collect</t>
        </is>
      </c>
      <c r="C61" t="inlineStr">
        <is>
          <t>2024 Topps Heritage Chrome Refractor Shohei Ohtani /575 #371 PSA 9 MINT</t>
        </is>
      </c>
      <c r="D61" t="inlineStr">
        <is>
          <t>2026-06-22</t>
        </is>
      </c>
      <c r="E61" s="2" t="n">
        <v>0</v>
      </c>
      <c r="F61" s="8" t="n">
        <v>0</v>
      </c>
      <c r="G61" t="inlineStr">
        <is>
          <t>Topps 2024 50/50 Shohei Ohtani #42 Chrome Gold Refractor /50 PSA 9 Dodgers</t>
        </is>
      </c>
      <c r="H61" s="2" t="n">
        <v>400</v>
      </c>
      <c r="I61" t="n">
        <v>22</v>
      </c>
      <c r="J61" s="9" t="n"/>
      <c r="K61" s="2">
        <f>IF(J61&lt;&gt;"",J61,H61)</f>
        <v/>
      </c>
      <c r="L61" s="2">
        <f>E61-K61</f>
        <v/>
      </c>
      <c r="M61" s="4">
        <f>IF(K61&gt;0,L61/K61,"")</f>
        <v/>
      </c>
    </row>
    <row r="62">
      <c r="A62" t="n">
        <v>61</v>
      </c>
      <c r="B62" t="inlineStr">
        <is>
          <t>Fanatics Collect</t>
        </is>
      </c>
      <c r="C62" t="inlineStr">
        <is>
          <t>1996 Ultra All-Rookies Kobe Bryant ROOKIE #3 PSA 9 MINT</t>
        </is>
      </c>
      <c r="D62" t="inlineStr">
        <is>
          <t>2026-06-18</t>
        </is>
      </c>
      <c r="E62" s="2" t="n">
        <v>0</v>
      </c>
      <c r="F62" s="8" t="n">
        <v>0</v>
      </c>
      <c r="G62" t="inlineStr">
        <is>
          <t>1996 Topps Youthquake Kobe Bryant Rookie Card PSA 9 MINT Graded Basketball #YQ15</t>
        </is>
      </c>
      <c r="H62" s="2" t="n">
        <v>505</v>
      </c>
      <c r="I62" t="n">
        <v>18</v>
      </c>
      <c r="J62" s="9" t="n"/>
      <c r="K62" s="2">
        <f>IF(J62&lt;&gt;"",J62,H62)</f>
        <v/>
      </c>
      <c r="L62" s="2">
        <f>E62-K62</f>
        <v/>
      </c>
      <c r="M62" s="4">
        <f>IF(K62&gt;0,L62/K62,"")</f>
        <v/>
      </c>
    </row>
    <row r="63">
      <c r="D63" s="1" t="inlineStr">
        <is>
          <t>TOTALS</t>
        </is>
      </c>
      <c r="E63" s="3">
        <f>SUM(E2:E62)</f>
        <v/>
      </c>
      <c r="H63" s="2">
        <f>SUM(H2:H62)</f>
        <v/>
      </c>
      <c r="K63" s="3">
        <f>SUM(K2:K62)</f>
        <v/>
      </c>
      <c r="L63" s="3">
        <f>SUM(L2:L62)</f>
        <v/>
      </c>
      <c r="M63" s="4">
        <f>IF(K63&gt;0,L63/K63,"")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75" customWidth="1" min="3" max="3"/>
  </cols>
  <sheetData>
    <row r="1">
      <c r="A1" s="6" t="inlineStr">
        <is>
          <t>#</t>
        </is>
      </c>
      <c r="B1" s="6" t="inlineStr">
        <is>
          <t>Platform</t>
        </is>
      </c>
      <c r="C1" s="6" t="inlineStr">
        <is>
          <t>Card</t>
        </is>
      </c>
      <c r="D1" s="6" t="inlineStr">
        <is>
          <t>Sale Date</t>
        </is>
      </c>
      <c r="E1" s="6" t="inlineStr">
        <is>
          <t>Net Proceeds</t>
        </is>
      </c>
      <c r="F1" s="6" t="inlineStr">
        <is>
          <t>Fee%</t>
        </is>
      </c>
      <c r="G1" s="6" t="inlineStr">
        <is>
          <t>Payout Status</t>
        </is>
      </c>
      <c r="H1" s="7" t="inlineStr">
        <is>
          <t>ENTER COST</t>
        </is>
      </c>
      <c r="I1" s="6" t="inlineStr">
        <is>
          <t>P&amp;L</t>
        </is>
      </c>
    </row>
    <row r="2">
      <c r="A2" t="n">
        <v>1</v>
      </c>
      <c r="B2" t="inlineStr">
        <is>
          <t>Fanatics Collect</t>
        </is>
      </c>
      <c r="C2" t="inlineStr">
        <is>
          <t>2025 Topps MVP Collection Red Foil Shohei Ohtani &amp; Aaron Judge PATCH 5/5 #50R</t>
        </is>
      </c>
      <c r="D2" t="inlineStr">
        <is>
          <t>2026-06-18</t>
        </is>
      </c>
      <c r="E2" s="2" t="n">
        <v>4465</v>
      </c>
      <c r="F2" s="8" t="n">
        <v>6</v>
      </c>
      <c r="G2" t="inlineStr">
        <is>
          <t>Payout complete</t>
        </is>
      </c>
      <c r="H2" s="9" t="n"/>
      <c r="I2" s="2">
        <f>IF(H2&lt;&gt;"",E2-H2,"")</f>
        <v/>
      </c>
    </row>
    <row r="3">
      <c r="A3" t="n">
        <v>2</v>
      </c>
      <c r="B3" t="inlineStr">
        <is>
          <t>Fanatics Collect</t>
        </is>
      </c>
      <c r="C3" t="inlineStr">
        <is>
          <t>2021 Bowman Chrome Orange Refractor Jordan Lawlar PROSPECT AUTO /25 PSA 10 GEM MINT</t>
        </is>
      </c>
      <c r="D3" t="inlineStr">
        <is>
          <t>2026-06-10</t>
        </is>
      </c>
      <c r="E3" s="2" t="n">
        <v>2303</v>
      </c>
      <c r="F3" s="8" t="n">
        <v>6</v>
      </c>
      <c r="G3" t="inlineStr">
        <is>
          <t>Payout complete</t>
        </is>
      </c>
      <c r="H3" s="9" t="n"/>
      <c r="I3" s="2">
        <f>IF(H3&lt;&gt;"",E3-H3,"")</f>
        <v/>
      </c>
    </row>
    <row r="4">
      <c r="A4" t="n">
        <v>3</v>
      </c>
      <c r="B4" t="inlineStr">
        <is>
          <t>Fanatics Collect</t>
        </is>
      </c>
      <c r="C4" t="inlineStr">
        <is>
          <t>2006 Finest Black Refractor LeBron James /99 #22 BGS 9.5 GEM MINT</t>
        </is>
      </c>
      <c r="D4" t="inlineStr">
        <is>
          <t>2026-06-20</t>
        </is>
      </c>
      <c r="E4" s="2" t="n">
        <v>2199.6</v>
      </c>
      <c r="F4" s="8" t="n">
        <v>6</v>
      </c>
      <c r="G4" t="inlineStr">
        <is>
          <t>Payout complete</t>
        </is>
      </c>
      <c r="H4" s="9" t="n"/>
      <c r="I4" s="2">
        <f>IF(H4&lt;&gt;"",E4-H4,"")</f>
        <v/>
      </c>
    </row>
    <row r="5">
      <c r="A5" t="n">
        <v>4</v>
      </c>
      <c r="B5" t="inlineStr">
        <is>
          <t>Fanatics Collect</t>
        </is>
      </c>
      <c r="C5" t="inlineStr">
        <is>
          <t>2003 Bowman Rookies &amp; Stars Gold LeBron James ROOKIE #123 PSA 8 NM-MT</t>
        </is>
      </c>
      <c r="D5" t="inlineStr">
        <is>
          <t>2026-05-14</t>
        </is>
      </c>
      <c r="E5" s="2" t="n">
        <v>2021</v>
      </c>
      <c r="F5" s="8" t="n">
        <v>6</v>
      </c>
      <c r="G5" t="inlineStr">
        <is>
          <t>Payout complete</t>
        </is>
      </c>
      <c r="H5" s="9" t="n"/>
      <c r="I5" s="2">
        <f>IF(H5&lt;&gt;"",E5-H5,"")</f>
        <v/>
      </c>
    </row>
    <row r="6">
      <c r="A6" t="n">
        <v>5</v>
      </c>
      <c r="B6" t="inlineStr">
        <is>
          <t>Fanatics Collect</t>
        </is>
      </c>
      <c r="C6" t="inlineStr">
        <is>
          <t>2019 Crown Royale Kaboom! Giannis Antetokounmpo #11 BGS 9.5 GEM MINT</t>
        </is>
      </c>
      <c r="D6" t="inlineStr">
        <is>
          <t>2026-05-05</t>
        </is>
      </c>
      <c r="E6" s="2" t="n">
        <v>1927</v>
      </c>
      <c r="F6" s="8" t="n">
        <v>6</v>
      </c>
      <c r="G6" t="inlineStr">
        <is>
          <t>Payout complete</t>
        </is>
      </c>
      <c r="H6" s="9" t="n"/>
      <c r="I6" s="2">
        <f>IF(H6&lt;&gt;"",E6-H6,"")</f>
        <v/>
      </c>
    </row>
    <row r="7">
      <c r="A7" t="n">
        <v>6</v>
      </c>
      <c r="B7" t="inlineStr">
        <is>
          <t>Fanatics Collect</t>
        </is>
      </c>
      <c r="C7" t="inlineStr">
        <is>
          <t>2024 Finest UEFA CC Magenta Refractor Lamine Yamal AUTO /75 #BA-YL CGC AUTH</t>
        </is>
      </c>
      <c r="D7" t="inlineStr">
        <is>
          <t>2026-06-18</t>
        </is>
      </c>
      <c r="E7" s="2" t="n">
        <v>1510.08</v>
      </c>
      <c r="F7" s="8" t="n">
        <v>12</v>
      </c>
      <c r="G7" t="inlineStr">
        <is>
          <t>Payout complete</t>
        </is>
      </c>
      <c r="H7" s="9" t="n"/>
      <c r="I7" s="2">
        <f>IF(H7&lt;&gt;"",E7-H7,"")</f>
        <v/>
      </c>
    </row>
    <row r="8">
      <c r="A8" t="n">
        <v>7</v>
      </c>
      <c r="B8" t="inlineStr">
        <is>
          <t>Fanatics Collect</t>
        </is>
      </c>
      <c r="C8" t="inlineStr">
        <is>
          <t>2014 Panini Spectra Millenial Green Prizm Stephen Curry PATCH /5 #MM-SC BGS 9.5 GEM MINT</t>
        </is>
      </c>
      <c r="D8" t="inlineStr">
        <is>
          <t>2026-05-27</t>
        </is>
      </c>
      <c r="E8" s="2" t="n">
        <v>1410</v>
      </c>
      <c r="F8" s="8" t="n">
        <v>6</v>
      </c>
      <c r="G8" t="inlineStr">
        <is>
          <t>Payout complete</t>
        </is>
      </c>
      <c r="H8" s="9" t="n"/>
      <c r="I8" s="2">
        <f>IF(H8&lt;&gt;"",E8-H8,"")</f>
        <v/>
      </c>
    </row>
    <row r="9">
      <c r="A9" t="n">
        <v>8</v>
      </c>
      <c r="B9" t="inlineStr">
        <is>
          <t>Fanatics Collect</t>
        </is>
      </c>
      <c r="C9" t="inlineStr">
        <is>
          <t>2007 SP Authentic Kevin Durant ROOKIE AUTO /399 #152 PSA 8 NM-MT</t>
        </is>
      </c>
      <c r="D9" t="inlineStr">
        <is>
          <t>2026-04-22</t>
        </is>
      </c>
      <c r="E9" s="2" t="n">
        <v>1323.52</v>
      </c>
      <c r="F9" s="8" t="n">
        <v>6</v>
      </c>
      <c r="G9" t="inlineStr">
        <is>
          <t>Payout complete</t>
        </is>
      </c>
      <c r="H9" s="9" t="n"/>
      <c r="I9" s="2">
        <f>IF(H9&lt;&gt;"",E9-H9,"")</f>
        <v/>
      </c>
    </row>
    <row r="10">
      <c r="A10" t="n">
        <v>9</v>
      </c>
      <c r="B10" t="inlineStr">
        <is>
          <t>Fanatics Collect</t>
        </is>
      </c>
      <c r="C10" t="inlineStr">
        <is>
          <t>1987 Fleer Basketball Michael Jordan #59 PSA 8 NM-MT</t>
        </is>
      </c>
      <c r="D10" t="inlineStr">
        <is>
          <t>2026-05-27</t>
        </is>
      </c>
      <c r="E10" s="2" t="n">
        <v>1128</v>
      </c>
      <c r="F10" s="8" t="n">
        <v>6</v>
      </c>
      <c r="G10" t="inlineStr">
        <is>
          <t>Payout complete</t>
        </is>
      </c>
      <c r="H10" s="9" t="n"/>
      <c r="I10" s="2">
        <f>IF(H10&lt;&gt;"",E10-H10,"")</f>
        <v/>
      </c>
    </row>
    <row r="11">
      <c r="A11" t="n">
        <v>10</v>
      </c>
      <c r="B11" t="inlineStr">
        <is>
          <t>Fanatics Collect</t>
        </is>
      </c>
      <c r="C11" t="inlineStr">
        <is>
          <t>1997 Fleer Soaring Stars High Flying Michael Jordan #9 PSA 9 MINT</t>
        </is>
      </c>
      <c r="D11" t="inlineStr">
        <is>
          <t>2026-06-11</t>
        </is>
      </c>
      <c r="E11" s="2" t="n">
        <v>1034</v>
      </c>
      <c r="F11" s="8" t="n">
        <v>6</v>
      </c>
      <c r="G11" t="inlineStr">
        <is>
          <t>Payout complete</t>
        </is>
      </c>
      <c r="H11" s="9" t="n"/>
      <c r="I11" s="2">
        <f>IF(H11&lt;&gt;"",E11-H11,"")</f>
        <v/>
      </c>
    </row>
    <row r="12">
      <c r="A12" t="n">
        <v>11</v>
      </c>
      <c r="B12" t="inlineStr">
        <is>
          <t>Fanatics Collect</t>
        </is>
      </c>
      <c r="C12" t="inlineStr">
        <is>
          <t>2018 Panini Prizm World Cup Red Mosaic Kylian Mbappe ROOKIE #80 BGS 9.5 GEM MINT</t>
        </is>
      </c>
      <c r="D12" t="inlineStr">
        <is>
          <t>2026-06-23</t>
        </is>
      </c>
      <c r="E12" s="2" t="n">
        <v>1005.8</v>
      </c>
      <c r="F12" s="8" t="n">
        <v>6</v>
      </c>
      <c r="G12" t="inlineStr">
        <is>
          <t>Payout complete</t>
        </is>
      </c>
      <c r="H12" s="9" t="n"/>
      <c r="I12" s="2">
        <f>IF(H12&lt;&gt;"",E12-H12,"")</f>
        <v/>
      </c>
    </row>
    <row r="13">
      <c r="A13" t="n">
        <v>12</v>
      </c>
      <c r="B13" t="inlineStr">
        <is>
          <t>Fanatics Collect</t>
        </is>
      </c>
      <c r="C13" t="inlineStr">
        <is>
          <t>1988 Fleer Basketball Michael Jordan ALL-STAR #120 BGS 9 MINT</t>
        </is>
      </c>
      <c r="D13" t="inlineStr">
        <is>
          <t>2026-06-21</t>
        </is>
      </c>
      <c r="E13" s="2" t="n">
        <v>916.5</v>
      </c>
      <c r="F13" s="8" t="n">
        <v>6</v>
      </c>
      <c r="G13" t="inlineStr">
        <is>
          <t>Payout complete</t>
        </is>
      </c>
      <c r="H13" s="9" t="n"/>
      <c r="I13" s="2">
        <f>IF(H13&lt;&gt;"",E13-H13,"")</f>
        <v/>
      </c>
    </row>
    <row r="14">
      <c r="A14" t="n">
        <v>13</v>
      </c>
      <c r="B14" t="inlineStr">
        <is>
          <t>Fanatics Collect</t>
        </is>
      </c>
      <c r="C14" t="inlineStr">
        <is>
          <t>1995 Collector's Choice Collection '86-'87 3000 Points Michael Jordan #JC2 PSA 10 GEM MINT</t>
        </is>
      </c>
      <c r="D14" t="inlineStr">
        <is>
          <t>2026-06-04</t>
        </is>
      </c>
      <c r="E14" s="2" t="n">
        <v>827.2</v>
      </c>
      <c r="F14" s="8" t="n">
        <v>6</v>
      </c>
      <c r="G14" t="inlineStr">
        <is>
          <t>Payout complete</t>
        </is>
      </c>
      <c r="H14" s="9" t="n"/>
      <c r="I14" s="2">
        <f>IF(H14&lt;&gt;"",E14-H14,"")</f>
        <v/>
      </c>
    </row>
    <row r="15">
      <c r="A15" t="n">
        <v>14</v>
      </c>
      <c r="B15" t="inlineStr">
        <is>
          <t>Fanatics Collect</t>
        </is>
      </c>
      <c r="C15" t="inlineStr">
        <is>
          <t>2023 Topps Pristine Road To UEFA Euro '24 Red Cristiano Ronaldo /5 #131 PSA 10 GEM MINT</t>
        </is>
      </c>
      <c r="D15" t="inlineStr">
        <is>
          <t>2026-04-30</t>
        </is>
      </c>
      <c r="E15" s="2" t="n">
        <v>775.5</v>
      </c>
      <c r="F15" s="8" t="n">
        <v>6</v>
      </c>
      <c r="G15" t="inlineStr">
        <is>
          <t>Payout complete</t>
        </is>
      </c>
      <c r="H15" s="9" t="n"/>
      <c r="I15" s="2">
        <f>IF(H15&lt;&gt;"",E15-H15,"")</f>
        <v/>
      </c>
    </row>
    <row r="16">
      <c r="A16" t="n">
        <v>15</v>
      </c>
      <c r="B16" t="inlineStr">
        <is>
          <t>Fanatics Collect</t>
        </is>
      </c>
      <c r="C16" t="inlineStr">
        <is>
          <t>1992 Ultra All-Rookie Shaquille O'Neal ROOKIE AUTO DNA 10 #7 PSA AUTH</t>
        </is>
      </c>
      <c r="D16" t="inlineStr">
        <is>
          <t>2026-06-10</t>
        </is>
      </c>
      <c r="E16" s="2" t="n">
        <v>770</v>
      </c>
      <c r="F16" s="8" t="n">
        <v>12</v>
      </c>
      <c r="G16" t="inlineStr">
        <is>
          <t>Payout complete</t>
        </is>
      </c>
      <c r="H16" s="9" t="n"/>
      <c r="I16" s="2">
        <f>IF(H16&lt;&gt;"",E16-H16,"")</f>
        <v/>
      </c>
    </row>
    <row r="17">
      <c r="A17" t="n">
        <v>16</v>
      </c>
      <c r="B17" t="inlineStr">
        <is>
          <t>Fanatics Collect</t>
        </is>
      </c>
      <c r="C17" t="inlineStr">
        <is>
          <t>2024 Bowman Chrome Draft Konnor Griffin PROSPECT AUTO #CPA-KG PSA 9 MINT</t>
        </is>
      </c>
      <c r="D17" t="inlineStr">
        <is>
          <t>2026-06-19</t>
        </is>
      </c>
      <c r="E17" s="2" t="n">
        <v>658</v>
      </c>
      <c r="F17" s="8" t="n">
        <v>6</v>
      </c>
      <c r="G17" t="inlineStr">
        <is>
          <t>Payout complete</t>
        </is>
      </c>
      <c r="H17" s="9" t="n"/>
      <c r="I17" s="2">
        <f>IF(H17&lt;&gt;"",E17-H17,"")</f>
        <v/>
      </c>
    </row>
    <row r="18">
      <c r="A18" t="n">
        <v>17</v>
      </c>
      <c r="B18" t="inlineStr">
        <is>
          <t>Fanatics Collect</t>
        </is>
      </c>
      <c r="C18" t="inlineStr">
        <is>
          <t>2025 Absolute Kaboom! Horizontal Lawrence Taylor #7 CGC AUTH</t>
        </is>
      </c>
      <c r="D18" t="inlineStr">
        <is>
          <t>2026-04-28</t>
        </is>
      </c>
      <c r="E18" s="2" t="n">
        <v>545.2</v>
      </c>
      <c r="F18" s="8" t="n">
        <v>6</v>
      </c>
      <c r="G18" t="inlineStr">
        <is>
          <t>Payout complete</t>
        </is>
      </c>
      <c r="H18" s="9" t="n"/>
      <c r="I18" s="2">
        <f>IF(H18&lt;&gt;"",E18-H18,"")</f>
        <v/>
      </c>
    </row>
    <row r="19">
      <c r="A19" t="n">
        <v>18</v>
      </c>
      <c r="B19" t="inlineStr">
        <is>
          <t>Fanatics Collect</t>
        </is>
      </c>
      <c r="C19" t="inlineStr">
        <is>
          <t>2014 Select Light Blue Prizm Die-Cut LeBron James /199 #119 PSA 10 GEM MINT</t>
        </is>
      </c>
      <c r="D19" t="inlineStr">
        <is>
          <t>2026-04-20</t>
        </is>
      </c>
      <c r="E19" s="2" t="n">
        <v>517</v>
      </c>
      <c r="F19" s="8" t="n">
        <v>6</v>
      </c>
      <c r="G19" t="inlineStr">
        <is>
          <t>Payout complete</t>
        </is>
      </c>
      <c r="H19" s="9" t="n"/>
      <c r="I19" s="2">
        <f>IF(H19&lt;&gt;"",E19-H19,"")</f>
        <v/>
      </c>
    </row>
    <row r="20">
      <c r="A20" t="n">
        <v>19</v>
      </c>
      <c r="B20" t="inlineStr">
        <is>
          <t>Fanatics Collect</t>
        </is>
      </c>
      <c r="C20" t="inlineStr">
        <is>
          <t>1996 Topps w/ Coating Holding Court Refractor Michael Jordan #HC2 BGS 8 NM-MT</t>
        </is>
      </c>
      <c r="D20" t="inlineStr">
        <is>
          <t>2026-04-28</t>
        </is>
      </c>
      <c r="E20" s="2" t="n">
        <v>512.3</v>
      </c>
      <c r="F20" s="8" t="n">
        <v>6</v>
      </c>
      <c r="G20" t="inlineStr">
        <is>
          <t>Payout complete</t>
        </is>
      </c>
      <c r="H20" s="9" t="n"/>
      <c r="I20" s="2">
        <f>IF(H20&lt;&gt;"",E20-H20,"")</f>
        <v/>
      </c>
    </row>
    <row r="21">
      <c r="A21" t="n">
        <v>20</v>
      </c>
      <c r="B21" t="inlineStr">
        <is>
          <t>Fanatics Collect</t>
        </is>
      </c>
      <c r="C21" t="inlineStr">
        <is>
          <t>2023 Bowman Platinum Top Jacob Misiorowski PROSPECT AUTO #TOP-69 PSA 10 GEM MINT</t>
        </is>
      </c>
      <c r="D21" t="inlineStr">
        <is>
          <t>2026-06-10</t>
        </is>
      </c>
      <c r="E21" s="2" t="n">
        <v>502.9</v>
      </c>
      <c r="F21" s="8" t="n">
        <v>6</v>
      </c>
      <c r="G21" t="inlineStr">
        <is>
          <t>Payout complete</t>
        </is>
      </c>
      <c r="H21" s="9" t="n"/>
      <c r="I21" s="2">
        <f>IF(H21&lt;&gt;"",E21-H21,"")</f>
        <v/>
      </c>
    </row>
    <row r="22">
      <c r="A22" t="n">
        <v>21</v>
      </c>
      <c r="B22" t="inlineStr">
        <is>
          <t>Fanatics Collect</t>
        </is>
      </c>
      <c r="C22" t="inlineStr">
        <is>
          <t>2024 Topps Chrome Update '24 All-Star Game Red Elly De La Cruz ROOKIE 5/5 #44 PSA 9 MINT</t>
        </is>
      </c>
      <c r="D22" t="inlineStr">
        <is>
          <t>2026-05-08</t>
        </is>
      </c>
      <c r="E22" s="2" t="n">
        <v>446.5</v>
      </c>
      <c r="F22" s="8" t="n">
        <v>6</v>
      </c>
      <c r="G22" t="inlineStr">
        <is>
          <t>Payout complete</t>
        </is>
      </c>
      <c r="H22" s="9" t="n"/>
      <c r="I22" s="2">
        <f>IF(H22&lt;&gt;"",E22-H22,"")</f>
        <v/>
      </c>
    </row>
    <row r="23">
      <c r="A23" t="n">
        <v>22</v>
      </c>
      <c r="B23" t="inlineStr">
        <is>
          <t>Fanatics Collect</t>
        </is>
      </c>
      <c r="C23" t="inlineStr">
        <is>
          <t>2020 Panini One And One Downtown Zion Williamson #1 BGS 9.5 GEM MINT</t>
        </is>
      </c>
      <c r="D23" t="inlineStr">
        <is>
          <t>2026-05-22</t>
        </is>
      </c>
      <c r="E23" s="2" t="n">
        <v>368.48</v>
      </c>
      <c r="F23" s="8" t="n">
        <v>6</v>
      </c>
      <c r="G23" t="inlineStr">
        <is>
          <t>Payout complete</t>
        </is>
      </c>
      <c r="H23" s="9" t="n"/>
      <c r="I23" s="2">
        <f>IF(H23&lt;&gt;"",E23-H23,"")</f>
        <v/>
      </c>
    </row>
    <row r="24">
      <c r="A24" t="n">
        <v>23</v>
      </c>
      <c r="B24" t="inlineStr">
        <is>
          <t>Fanatics Collect</t>
        </is>
      </c>
      <c r="C24" t="inlineStr">
        <is>
          <t>1995 Topps Basketball Michael Jordan #277 PSA 10 GEM MINT</t>
        </is>
      </c>
      <c r="D24" t="inlineStr">
        <is>
          <t>2026-06-24</t>
        </is>
      </c>
      <c r="E24" s="2" t="n">
        <v>305.5</v>
      </c>
      <c r="F24" s="8" t="n">
        <v>6</v>
      </c>
      <c r="G24" t="inlineStr">
        <is>
          <t>Payout in progress</t>
        </is>
      </c>
      <c r="H24" s="9" t="n"/>
      <c r="I24" s="2">
        <f>IF(H24&lt;&gt;"",E24-H24,"")</f>
        <v/>
      </c>
    </row>
    <row r="25">
      <c r="A25" t="n">
        <v>24</v>
      </c>
      <c r="B25" t="inlineStr">
        <is>
          <t>Fanatics Collect</t>
        </is>
      </c>
      <c r="C25" t="inlineStr">
        <is>
          <t>2008 Upper Deck Starquest Michael Jordan #SQ-20 PSA 10 GEM MINT</t>
        </is>
      </c>
      <c r="D25" t="inlineStr">
        <is>
          <t>2026-06-08</t>
        </is>
      </c>
      <c r="E25" s="2" t="n">
        <v>282</v>
      </c>
      <c r="F25" s="8" t="n">
        <v>6</v>
      </c>
      <c r="G25" t="inlineStr">
        <is>
          <t>Payout complete</t>
        </is>
      </c>
      <c r="H25" s="9" t="n"/>
      <c r="I25" s="2">
        <f>IF(H25&lt;&gt;"",E25-H25,"")</f>
        <v/>
      </c>
    </row>
    <row r="26">
      <c r="A26" t="n">
        <v>25</v>
      </c>
      <c r="B26" t="inlineStr">
        <is>
          <t>Fanatics Collect</t>
        </is>
      </c>
      <c r="C26" t="inlineStr">
        <is>
          <t>2014 Panini Prizm SP Variations Silver LeBron James #10 PSA 10 GEM MINT</t>
        </is>
      </c>
      <c r="D26" t="inlineStr">
        <is>
          <t>2026-05-21</t>
        </is>
      </c>
      <c r="E26" s="2" t="n">
        <v>282</v>
      </c>
      <c r="F26" s="8" t="n">
        <v>6</v>
      </c>
      <c r="G26" t="inlineStr">
        <is>
          <t>Payout complete</t>
        </is>
      </c>
      <c r="H26" s="9" t="n"/>
      <c r="I26" s="2">
        <f>IF(H26&lt;&gt;"",E26-H26,"")</f>
        <v/>
      </c>
    </row>
    <row r="27">
      <c r="A27" t="n">
        <v>26</v>
      </c>
      <c r="B27" t="inlineStr">
        <is>
          <t>Fanatics Collect</t>
        </is>
      </c>
      <c r="C27" t="inlineStr">
        <is>
          <t>1993 Finest Ken Griffey Jr. #110 PSA 10 GEM MINT</t>
        </is>
      </c>
      <c r="D27" t="inlineStr">
        <is>
          <t>2026-06-22</t>
        </is>
      </c>
      <c r="E27" s="2" t="n">
        <v>0</v>
      </c>
      <c r="F27" s="8" t="n">
        <v>0</v>
      </c>
      <c r="G27" t="inlineStr">
        <is>
          <t>Waiting for buyer's payment</t>
        </is>
      </c>
      <c r="H27" s="9" t="n"/>
      <c r="I27" s="2">
        <f>IF(H27&lt;&gt;"",E27-H27,"")</f>
        <v/>
      </c>
    </row>
    <row r="28">
      <c r="A28" t="n">
        <v>27</v>
      </c>
      <c r="B28" t="inlineStr">
        <is>
          <t>Fanatics Collect</t>
        </is>
      </c>
      <c r="C28" t="inlineStr">
        <is>
          <t>2013 Fleer Retro '95 Metal Universe Precious Metal Gems Blue LeBron James /50 #247 BGS 8.5</t>
        </is>
      </c>
      <c r="D28" t="inlineStr">
        <is>
          <t>2026-06-14</t>
        </is>
      </c>
      <c r="E28" s="2" t="n">
        <v>0</v>
      </c>
      <c r="F28" s="8" t="n">
        <v>0</v>
      </c>
      <c r="G28" t="inlineStr">
        <is>
          <t>Waiting for buyer's payment</t>
        </is>
      </c>
      <c r="H28" s="9" t="n"/>
      <c r="I28" s="2">
        <f>IF(H28&lt;&gt;"",E28-H28,"")</f>
        <v/>
      </c>
    </row>
    <row r="29">
      <c r="D29" s="1" t="inlineStr">
        <is>
          <t>TOTALS</t>
        </is>
      </c>
      <c r="E29" s="3">
        <f>SUM(E2:E28)</f>
        <v/>
      </c>
      <c r="H29" s="2">
        <f>SUM(H2:H28)</f>
        <v/>
      </c>
      <c r="I29" s="3">
        <f>SUM(I2:I28)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Platform</t>
        </is>
      </c>
      <c r="C1" s="1" t="inlineStr">
        <is>
          <t>Card</t>
        </is>
      </c>
      <c r="D1" s="1" t="inlineStr">
        <is>
          <t>Date</t>
        </is>
      </c>
      <c r="E1" s="1" t="inlineStr">
        <is>
          <t>Proceeds</t>
        </is>
      </c>
      <c r="F1" s="1" t="inlineStr">
        <is>
          <t>eBay Match</t>
        </is>
      </c>
      <c r="G1" s="1" t="inlineStr">
        <is>
          <t>eBay Cost</t>
        </is>
      </c>
      <c r="H1" s="1" t="inlineStr">
        <is>
          <t>Score</t>
        </is>
      </c>
      <c r="I1" s="1" t="inlineStr">
        <is>
          <t>CORRECTED COST</t>
        </is>
      </c>
      <c r="J1" s="1" t="inlineStr">
        <is>
          <t>Final Cost</t>
        </is>
      </c>
      <c r="K1" s="1" t="inlineStr">
        <is>
          <t>P&amp;L</t>
        </is>
      </c>
      <c r="L1" s="1" t="inlineStr">
        <is>
          <t>Return</t>
        </is>
      </c>
    </row>
    <row r="2">
      <c r="A2" t="n">
        <v>1</v>
      </c>
      <c r="B2" t="inlineStr">
        <is>
          <t>Whatnot</t>
        </is>
      </c>
      <c r="C2" t="inlineStr">
        <is>
          <t>2024 Topps Heritage Chrome Hot Box Refractor Ronald Acuna Jr. ERROR #321 CGC AUTH</t>
        </is>
      </c>
      <c r="D2" t="inlineStr">
        <is>
          <t>2026-04-12</t>
        </is>
      </c>
      <c r="E2" s="2" t="n">
        <v>12.75</v>
      </c>
      <c r="F2" t="inlineStr">
        <is>
          <t>STEPHEN CURRY 2009-10 TOPPS ROOKIE CARD #321 NM-MT PSA 8 WARRIORS RC</t>
        </is>
      </c>
      <c r="G2" s="2" t="n">
        <v>2400</v>
      </c>
      <c r="H2" t="n">
        <v>12</v>
      </c>
      <c r="I2" s="3" t="n"/>
      <c r="J2" s="2">
        <f>IF(I2&lt;&gt;"",I2,G2)</f>
        <v/>
      </c>
      <c r="K2" s="2">
        <f>E2-J2</f>
        <v/>
      </c>
      <c r="L2" s="4">
        <f>IF(J2&gt;0,K2/J2,"")</f>
        <v/>
      </c>
    </row>
    <row r="3">
      <c r="A3" t="n">
        <v>2</v>
      </c>
      <c r="B3" t="inlineStr">
        <is>
          <t>Whatnot</t>
        </is>
      </c>
      <c r="C3" t="inlineStr">
        <is>
          <t>2023 Panini Court Kings Water Color Sapphire Anthony Edwards JERSEY # 5/25 #6 PSA 9 MINT</t>
        </is>
      </c>
      <c r="D3" t="inlineStr">
        <is>
          <t>2026-03-22</t>
        </is>
      </c>
      <c r="E3" s="2" t="n">
        <v>66.64999999999999</v>
      </c>
      <c r="F3" t="inlineStr">
        <is>
          <t>2023 Select #16 Shai Gilgeous-Alexander Color Wheel Auto PSA MINT 9/GEM MINT 10</t>
        </is>
      </c>
      <c r="G3" s="2" t="n">
        <v>2000</v>
      </c>
      <c r="H3" t="n">
        <v>17</v>
      </c>
      <c r="I3" s="3" t="n"/>
      <c r="J3" s="2">
        <f>IF(I3&lt;&gt;"",I3,G3)</f>
        <v/>
      </c>
      <c r="K3" s="2">
        <f>E3-J3</f>
        <v/>
      </c>
      <c r="L3" s="4">
        <f>IF(J3&gt;0,K3/J3,"")</f>
        <v/>
      </c>
    </row>
    <row r="4">
      <c r="A4" t="n">
        <v>3</v>
      </c>
      <c r="B4" t="inlineStr">
        <is>
          <t>Whatnot</t>
        </is>
      </c>
      <c r="C4" t="inlineStr">
        <is>
          <t>2025 Topps Season Tip-Off Green Josh Hart /99 #16 CGC AUTH</t>
        </is>
      </c>
      <c r="D4" t="inlineStr">
        <is>
          <t>2026-03-22</t>
        </is>
      </c>
      <c r="E4" s="2" t="n">
        <v>2.25</v>
      </c>
      <c r="F4" t="inlineStr">
        <is>
          <t>2025-26 Topps Finest Stephen Curry #163 Uncommon Red Geometric Warriors /5</t>
        </is>
      </c>
      <c r="G4" s="2" t="n">
        <v>1930</v>
      </c>
      <c r="H4" t="n">
        <v>17</v>
      </c>
      <c r="I4" s="3" t="n"/>
      <c r="J4" s="2">
        <f>IF(I4&lt;&gt;"",I4,G4)</f>
        <v/>
      </c>
      <c r="K4" s="2">
        <f>E4-J4</f>
        <v/>
      </c>
      <c r="L4" s="4">
        <f>IF(J4&gt;0,K4/J4,"")</f>
        <v/>
      </c>
    </row>
    <row r="5">
      <c r="A5" t="n">
        <v>4</v>
      </c>
      <c r="B5" t="inlineStr">
        <is>
          <t>Whatnot</t>
        </is>
      </c>
      <c r="C5" t="inlineStr">
        <is>
          <t>2024 Hoops Premium Green Scope Nikola Jokic /25 #12 CGC AUTH</t>
        </is>
      </c>
      <c r="D5" t="inlineStr">
        <is>
          <t>2026-04-26</t>
        </is>
      </c>
      <c r="E5" s="2" t="n">
        <v>16.95</v>
      </c>
      <c r="F5" t="inlineStr">
        <is>
          <t>2024-25 Panini Noir Ja Morant Spotlight Signatures GOLD INK AUTO 12/99 Match 1/1</t>
        </is>
      </c>
      <c r="G5" s="2" t="n">
        <v>1862</v>
      </c>
      <c r="H5" t="n">
        <v>15</v>
      </c>
      <c r="I5" s="3" t="n"/>
      <c r="J5" s="2">
        <f>IF(I5&lt;&gt;"",I5,G5)</f>
        <v/>
      </c>
      <c r="K5" s="2">
        <f>E5-J5</f>
        <v/>
      </c>
      <c r="L5" s="4">
        <f>IF(J5&gt;0,K5/J5,"")</f>
        <v/>
      </c>
    </row>
    <row r="6">
      <c r="A6" t="n">
        <v>5</v>
      </c>
      <c r="B6" t="inlineStr">
        <is>
          <t>Whatnot</t>
        </is>
      </c>
      <c r="C6" t="inlineStr">
        <is>
          <t>2025 Topps Chrome Refractor Victor Wembanyama #221 CGC AUTH</t>
        </is>
      </c>
      <c r="D6" t="inlineStr">
        <is>
          <t>2026-05-03</t>
        </is>
      </c>
      <c r="E6" s="2" t="n">
        <v>14.85</v>
      </c>
      <c r="F6" t="inlineStr">
        <is>
          <t>2025-26 Topps Chrome - Victor Wembanyama #221 Orange Pulsar Refractor /25</t>
        </is>
      </c>
      <c r="G6" s="2" t="n">
        <v>1450</v>
      </c>
      <c r="H6" t="n">
        <v>28</v>
      </c>
      <c r="I6" s="3" t="n"/>
      <c r="J6" s="2">
        <f>IF(I6&lt;&gt;"",I6,G6)</f>
        <v/>
      </c>
      <c r="K6" s="2">
        <f>E6-J6</f>
        <v/>
      </c>
      <c r="L6" s="4">
        <f>IF(J6&gt;0,K6/J6,"")</f>
        <v/>
      </c>
    </row>
    <row r="7">
      <c r="A7" t="n">
        <v>6</v>
      </c>
      <c r="B7" t="inlineStr">
        <is>
          <t>Whatnot</t>
        </is>
      </c>
      <c r="C7" t="inlineStr">
        <is>
          <t>2025 Topps Chrome Xfractor Victor Wembanyama #221 CGC AUTH</t>
        </is>
      </c>
      <c r="D7" t="inlineStr">
        <is>
          <t>2026-05-03</t>
        </is>
      </c>
      <c r="E7" s="2" t="n">
        <v>32.7</v>
      </c>
      <c r="F7" t="inlineStr">
        <is>
          <t>2025-26 Topps Chrome - Victor Wembanyama #221 Orange Pulsar Refractor /25</t>
        </is>
      </c>
      <c r="G7" s="2" t="n">
        <v>1450</v>
      </c>
      <c r="H7" t="n">
        <v>26</v>
      </c>
      <c r="I7" s="3" t="n"/>
      <c r="J7" s="2">
        <f>IF(I7&lt;&gt;"",I7,G7)</f>
        <v/>
      </c>
      <c r="K7" s="2">
        <f>E7-J7</f>
        <v/>
      </c>
      <c r="L7" s="4">
        <f>IF(J7&gt;0,K7/J7,"")</f>
        <v/>
      </c>
    </row>
    <row r="8">
      <c r="A8" t="n">
        <v>7</v>
      </c>
      <c r="B8" t="inlineStr">
        <is>
          <t>Whatnot</t>
        </is>
      </c>
      <c r="C8" t="inlineStr">
        <is>
          <t>2023 Bowman University Now Caitlin Clark ROOKIE #49 PSA 10 GEM MINT</t>
        </is>
      </c>
      <c r="D8" t="inlineStr">
        <is>
          <t>2026-05-03</t>
        </is>
      </c>
      <c r="E8" s="2" t="n">
        <v>31.65</v>
      </c>
      <c r="F8" t="inlineStr">
        <is>
          <t>JULIO RODRIGUEZ 2019 BOWMAN CHROME 1ST REFRACTOR AUTO /499 PSA 10 Q5878</t>
        </is>
      </c>
      <c r="G8" s="2" t="n">
        <v>1448</v>
      </c>
      <c r="H8" t="n">
        <v>15</v>
      </c>
      <c r="I8" s="3" t="n"/>
      <c r="J8" s="2">
        <f>IF(I8&lt;&gt;"",I8,G8)</f>
        <v/>
      </c>
      <c r="K8" s="2">
        <f>E8-J8</f>
        <v/>
      </c>
      <c r="L8" s="4">
        <f>IF(J8&gt;0,K8/J8,"")</f>
        <v/>
      </c>
    </row>
    <row r="9">
      <c r="A9" t="n">
        <v>8</v>
      </c>
      <c r="B9" t="inlineStr">
        <is>
          <t>Whatnot</t>
        </is>
      </c>
      <c r="C9" t="inlineStr">
        <is>
          <t>2024 Topps Chrome Red Geometric Refractor Dwyane Wade 5/5 #13 CGC AUTH</t>
        </is>
      </c>
      <c r="D9" t="inlineStr">
        <is>
          <t>2026-03-22</t>
        </is>
      </c>
      <c r="E9" s="2" t="n">
        <v>18</v>
      </c>
      <c r="F9" t="inlineStr">
        <is>
          <t>KEVIN DURANT PSA 9 2007-08 TOPPS CHROME #131 ROOKIE REFRACTOR RC 0641/1499</t>
        </is>
      </c>
      <c r="G9" s="2" t="n">
        <v>1275</v>
      </c>
      <c r="H9" t="n">
        <v>19</v>
      </c>
      <c r="I9" s="3" t="n"/>
      <c r="J9" s="2">
        <f>IF(I9&lt;&gt;"",I9,G9)</f>
        <v/>
      </c>
      <c r="K9" s="2">
        <f>E9-J9</f>
        <v/>
      </c>
      <c r="L9" s="4">
        <f>IF(J9&gt;0,K9/J9,"")</f>
        <v/>
      </c>
    </row>
    <row r="10">
      <c r="A10" t="n">
        <v>9</v>
      </c>
      <c r="B10" t="inlineStr">
        <is>
          <t>Whatnot</t>
        </is>
      </c>
      <c r="C10" t="inlineStr">
        <is>
          <t>2021 Panini Flawless Draft Gem Luka Doncic AUTO /25 #DGS-LDD</t>
        </is>
      </c>
      <c r="D10" t="inlineStr">
        <is>
          <t>2026-02-21</t>
        </is>
      </c>
      <c r="E10" s="2" t="n">
        <v>1155</v>
      </c>
      <c r="F10" t="inlineStr">
        <is>
          <t>2021-22 Panini Flawless Luka Doncic #DGS-LDD Draft Gem Signatures Auto /25</t>
        </is>
      </c>
      <c r="G10" s="2" t="n">
        <v>2411</v>
      </c>
      <c r="H10" t="n">
        <v>30</v>
      </c>
      <c r="I10" s="3" t="n"/>
      <c r="J10" s="2">
        <f>IF(I10&lt;&gt;"",I10,G10)</f>
        <v/>
      </c>
      <c r="K10" s="2">
        <f>E10-J10</f>
        <v/>
      </c>
      <c r="L10" s="4">
        <f>IF(J10&gt;0,K10/J10,"")</f>
        <v/>
      </c>
    </row>
    <row r="11">
      <c r="A11" t="n">
        <v>10</v>
      </c>
      <c r="B11" t="inlineStr">
        <is>
          <t>Whatnot</t>
        </is>
      </c>
      <c r="C11" t="inlineStr">
        <is>
          <t>2025 Topps Chrome Cooper Flagg ROOKIE #251 CGC AUTH</t>
        </is>
      </c>
      <c r="D11" t="inlineStr">
        <is>
          <t>2026-03-22</t>
        </is>
      </c>
      <c r="E11" s="2" t="n">
        <v>15.9</v>
      </c>
      <c r="F11" t="inlineStr">
        <is>
          <t>2025-26 Topps Chrome - Cooper Flagg #251 Green Basketball Refractor /99 (RC)</t>
        </is>
      </c>
      <c r="G11" s="2" t="n">
        <v>1150</v>
      </c>
      <c r="H11" t="n">
        <v>26</v>
      </c>
      <c r="I11" s="3" t="n"/>
      <c r="J11" s="2">
        <f>IF(I11&lt;&gt;"",I11,G11)</f>
        <v/>
      </c>
      <c r="K11" s="2">
        <f>E11-J11</f>
        <v/>
      </c>
      <c r="L11" s="4">
        <f>IF(J11&gt;0,K11/J11,"")</f>
        <v/>
      </c>
    </row>
    <row r="12">
      <c r="A12" t="n">
        <v>11</v>
      </c>
      <c r="B12" t="inlineStr">
        <is>
          <t>Whatnot</t>
        </is>
      </c>
      <c r="C12" t="inlineStr">
        <is>
          <t>2019 Panini Flawless Collegiate Star Swatch Gold Donovan Mitchell PATCH AUTO /10 #17 CGC AUTH</t>
        </is>
      </c>
      <c r="D12" t="inlineStr">
        <is>
          <t>2026-05-03</t>
        </is>
      </c>
      <c r="E12" s="2" t="n">
        <v>163.625</v>
      </c>
      <c r="F12" t="inlineStr">
        <is>
          <t>2017-18 Panini Flawless Giannis Antetokounmpo Momentous Auto Gold /10</t>
        </is>
      </c>
      <c r="G12" s="2" t="n">
        <v>1125</v>
      </c>
      <c r="H12" t="n">
        <v>19</v>
      </c>
      <c r="I12" s="3" t="n"/>
      <c r="J12" s="2">
        <f>IF(I12&lt;&gt;"",I12,G12)</f>
        <v/>
      </c>
      <c r="K12" s="2">
        <f>E12-J12</f>
        <v/>
      </c>
      <c r="L12" s="4">
        <f>IF(J12&gt;0,K12/J12,"")</f>
        <v/>
      </c>
    </row>
    <row r="13">
      <c r="A13" t="n">
        <v>12</v>
      </c>
      <c r="B13" t="inlineStr">
        <is>
          <t>Whatnot</t>
        </is>
      </c>
      <c r="C13" t="inlineStr">
        <is>
          <t>2024 Panini Prizm Black Prizmatrix Gold Shimmer Luka Doncic AUTO 1/10 #PS-LUK</t>
        </is>
      </c>
      <c r="D13" t="inlineStr">
        <is>
          <t>2026-02-21</t>
        </is>
      </c>
      <c r="E13" s="2" t="n">
        <v>1980</v>
      </c>
      <c r="F13" t="inlineStr">
        <is>
          <t>1/10 ≈1/1 ! 2024-25 Panini Prizm Black Luka Doncic Gold Shimmer Prizmatrix Auto</t>
        </is>
      </c>
      <c r="G13" s="2" t="n">
        <v>2817</v>
      </c>
      <c r="H13" t="n">
        <v>29</v>
      </c>
      <c r="I13" s="3" t="n"/>
      <c r="J13" s="2">
        <f>IF(I13&lt;&gt;"",I13,G13)</f>
        <v/>
      </c>
      <c r="K13" s="2">
        <f>E13-J13</f>
        <v/>
      </c>
      <c r="L13" s="4">
        <f>IF(J13&gt;0,K13/J13,"")</f>
        <v/>
      </c>
    </row>
    <row r="14">
      <c r="A14" t="n">
        <v>13</v>
      </c>
      <c r="B14" t="inlineStr">
        <is>
          <t>Whatnot</t>
        </is>
      </c>
      <c r="C14" t="inlineStr">
        <is>
          <t>2024 Panini Flawless All-NBA Diamond Gems Luka Doncic /10 #182</t>
        </is>
      </c>
      <c r="D14" t="inlineStr">
        <is>
          <t>2026-02-21</t>
        </is>
      </c>
      <c r="E14" s="2" t="n">
        <v>396.0000000000001</v>
      </c>
      <c r="F14" t="inlineStr">
        <is>
          <t>2024-25 Panini Flawless Basketball Luka Doncic #182 All-NBA Diamond Lakers /10</t>
        </is>
      </c>
      <c r="G14" s="2" t="n">
        <v>1140</v>
      </c>
      <c r="H14" t="n">
        <v>30</v>
      </c>
      <c r="I14" s="3" t="n"/>
      <c r="J14" s="2">
        <f>IF(I14&lt;&gt;"",I14,G14)</f>
        <v/>
      </c>
      <c r="K14" s="2">
        <f>E14-J14</f>
        <v/>
      </c>
      <c r="L14" s="4">
        <f>IF(J14&gt;0,K14/J14,"")</f>
        <v/>
      </c>
    </row>
    <row r="15">
      <c r="A15" t="n">
        <v>14</v>
      </c>
      <c r="B15" t="inlineStr">
        <is>
          <t>Whatnot</t>
        </is>
      </c>
      <c r="C15" t="inlineStr">
        <is>
          <t>2025 Panini The National VIP Tiger Stripes Paul Skenes #42 CGC AUTH</t>
        </is>
      </c>
      <c r="D15" t="inlineStr">
        <is>
          <t>2026-04-12</t>
        </is>
      </c>
      <c r="E15" s="2" t="n">
        <v>8.550000000000001</v>
      </c>
      <c r="F15" t="inlineStr">
        <is>
          <t>PAUL SKENES 2025 Panini National VIP Gold Pack #42 Gold Auto #1/10</t>
        </is>
      </c>
      <c r="G15" s="2" t="n">
        <v>700</v>
      </c>
      <c r="H15" t="n">
        <v>23</v>
      </c>
      <c r="I15" s="3" t="n"/>
      <c r="J15" s="2">
        <f>IF(I15&lt;&gt;"",I15,G15)</f>
        <v/>
      </c>
      <c r="K15" s="2">
        <f>E15-J15</f>
        <v/>
      </c>
      <c r="L15" s="4">
        <f>IF(J15&gt;0,K15/J15,"")</f>
        <v/>
      </c>
    </row>
    <row r="16">
      <c r="A16" t="n">
        <v>15</v>
      </c>
      <c r="B16" t="inlineStr">
        <is>
          <t>Whatnot</t>
        </is>
      </c>
      <c r="C16" t="inlineStr">
        <is>
          <t>2025 Topps Rainbow Foil VJ Edgecombe ROOKIE #203 CGC AUTH</t>
        </is>
      </c>
      <c r="D16" t="inlineStr">
        <is>
          <t>2026-04-05</t>
        </is>
      </c>
      <c r="E16" s="2" t="n">
        <v>5.4</v>
      </c>
      <c r="F16" t="inlineStr">
        <is>
          <t>2025-26 Topps Flagship NBA VJ Edgecombe Aqua Holo #203 RARE 1:500 Packs SSP Read</t>
        </is>
      </c>
      <c r="G16" s="2" t="n">
        <v>600</v>
      </c>
      <c r="H16" t="n">
        <v>19</v>
      </c>
      <c r="I16" s="3" t="n"/>
      <c r="J16" s="2">
        <f>IF(I16&lt;&gt;"",I16,G16)</f>
        <v/>
      </c>
      <c r="K16" s="2">
        <f>E16-J16</f>
        <v/>
      </c>
      <c r="L16" s="4">
        <f>IF(J16&gt;0,K16/J16,"")</f>
        <v/>
      </c>
    </row>
    <row r="17">
      <c r="A17" t="n">
        <v>16</v>
      </c>
      <c r="B17" t="inlineStr">
        <is>
          <t>Whatnot</t>
        </is>
      </c>
      <c r="C17" t="inlineStr">
        <is>
          <t>2020 Panini Spectra Astral Prizm Tyrese Maxey ROOKIE PATCH AUTO 35/35 #204</t>
        </is>
      </c>
      <c r="D17" t="inlineStr">
        <is>
          <t>2026-02-21</t>
        </is>
      </c>
      <c r="E17" s="2" t="n">
        <v>253</v>
      </c>
      <c r="F17" t="inlineStr">
        <is>
          <t>TYRESE MAXEY /35 Rookie Patch Auto Astral Prizm SEALED RPA 2020-21 Spectra #204</t>
        </is>
      </c>
      <c r="G17" s="2" t="n">
        <v>775</v>
      </c>
      <c r="H17" t="n">
        <v>28</v>
      </c>
      <c r="I17" s="3" t="n"/>
      <c r="J17" s="2">
        <f>IF(I17&lt;&gt;"",I17,G17)</f>
        <v/>
      </c>
      <c r="K17" s="2">
        <f>E17-J17</f>
        <v/>
      </c>
      <c r="L17" s="4">
        <f>IF(J17&gt;0,K17/J17,"")</f>
        <v/>
      </c>
    </row>
    <row r="18">
      <c r="A18" t="n">
        <v>17</v>
      </c>
      <c r="B18" t="inlineStr">
        <is>
          <t>Whatnot</t>
        </is>
      </c>
      <c r="C18" t="inlineStr">
        <is>
          <t>2024 Panini Prizm Draft Picks Rated Orange Ice VJ Edgecombe ROOKIE #17 CGC AUTH</t>
        </is>
      </c>
      <c r="D18" t="inlineStr">
        <is>
          <t>2026-03-22</t>
        </is>
      </c>
      <c r="E18" s="2" t="n">
        <v>2.25</v>
      </c>
      <c r="F18" t="inlineStr">
        <is>
          <t>2024 Panini Prizm Draft Picks Rated Prospect VJ Edgecombe #17 Red Seismic /225</t>
        </is>
      </c>
      <c r="G18" s="2" t="n">
        <v>490</v>
      </c>
      <c r="H18" t="n">
        <v>30</v>
      </c>
      <c r="I18" s="3" t="n"/>
      <c r="J18" s="2">
        <f>IF(I18&lt;&gt;"",I18,G18)</f>
        <v/>
      </c>
      <c r="K18" s="2">
        <f>E18-J18</f>
        <v/>
      </c>
      <c r="L18" s="4">
        <f>IF(J18&gt;0,K18/J18,"")</f>
        <v/>
      </c>
    </row>
    <row r="19">
      <c r="A19" t="n">
        <v>18</v>
      </c>
      <c r="B19" t="inlineStr">
        <is>
          <t>Whatnot</t>
        </is>
      </c>
      <c r="C19" t="inlineStr">
        <is>
          <t>2024 Panini Prizm Draft Picks Rated Prospect Orange Ice VJ Edgecombe ROOKIE #17 CGC AUTH</t>
        </is>
      </c>
      <c r="D19" t="inlineStr">
        <is>
          <t>2026-03-22</t>
        </is>
      </c>
      <c r="E19" s="2" t="n">
        <v>2.25</v>
      </c>
      <c r="F19" t="inlineStr">
        <is>
          <t>2024 Panini Prizm Draft Picks Rated Prospect VJ Edgecombe #17 Red Seismic /225</t>
        </is>
      </c>
      <c r="G19" s="2" t="n">
        <v>490</v>
      </c>
      <c r="H19" t="n">
        <v>32</v>
      </c>
      <c r="I19" s="3" t="n"/>
      <c r="J19" s="2">
        <f>IF(I19&lt;&gt;"",I19,G19)</f>
        <v/>
      </c>
      <c r="K19" s="2">
        <f>E19-J19</f>
        <v/>
      </c>
      <c r="L19" s="4">
        <f>IF(J19&gt;0,K19/J19,"")</f>
        <v/>
      </c>
    </row>
    <row r="20">
      <c r="A20" t="n">
        <v>19</v>
      </c>
      <c r="B20" t="inlineStr">
        <is>
          <t>Whatnot</t>
        </is>
      </c>
      <c r="C20" t="inlineStr">
        <is>
          <t>2024 Panini Prizm Draft Picks Rated Prospect Blue Seismic VJ Edgecombe ROOKIE /149 #17 CGC AUTH</t>
        </is>
      </c>
      <c r="D20" t="inlineStr">
        <is>
          <t>2026-03-29</t>
        </is>
      </c>
      <c r="E20" s="2" t="n">
        <v>14.7</v>
      </c>
      <c r="F20" t="inlineStr">
        <is>
          <t>2024 Panini Prizm Draft Picks Rated Prospect VJ Edgecombe #17 Red Seismic /225</t>
        </is>
      </c>
      <c r="G20" s="2" t="n">
        <v>490</v>
      </c>
      <c r="H20" t="n">
        <v>34</v>
      </c>
      <c r="I20" s="3" t="n"/>
      <c r="J20" s="2">
        <f>IF(I20&lt;&gt;"",I20,G20)</f>
        <v/>
      </c>
      <c r="K20" s="2">
        <f>E20-J20</f>
        <v/>
      </c>
      <c r="L20" s="4">
        <f>IF(J20&gt;0,K20/J20,"")</f>
        <v/>
      </c>
    </row>
    <row r="21">
      <c r="A21" t="n">
        <v>20</v>
      </c>
      <c r="B21" t="inlineStr">
        <is>
          <t>Whatnot</t>
        </is>
      </c>
      <c r="C21" t="inlineStr">
        <is>
          <t>2025 Panini The National VIP Gold Giannis Antetokounmpo /10 #22 CGC AUTH</t>
        </is>
      </c>
      <c r="D21" t="inlineStr">
        <is>
          <t>2026-02-21</t>
        </is>
      </c>
      <c r="E21" s="2" t="n">
        <v>190.5</v>
      </c>
      <c r="F21" t="inlineStr">
        <is>
          <t>GIANNIS ANTETOKOUNMPO 2025 Panini National Gold VIP #22 Gold Prizm Auto #1/10</t>
        </is>
      </c>
      <c r="G21" s="2" t="n">
        <v>650</v>
      </c>
      <c r="H21" t="n">
        <v>25</v>
      </c>
      <c r="I21" s="3" t="n"/>
      <c r="J21" s="2">
        <f>IF(I21&lt;&gt;"",I21,G21)</f>
        <v/>
      </c>
      <c r="K21" s="2">
        <f>E21-J21</f>
        <v/>
      </c>
      <c r="L21" s="4">
        <f>IF(J21&gt;0,K21/J21,"")</f>
        <v/>
      </c>
    </row>
    <row r="22">
      <c r="A22" t="n">
        <v>21</v>
      </c>
      <c r="B22" t="inlineStr">
        <is>
          <t>Whatnot</t>
        </is>
      </c>
      <c r="C22" t="inlineStr">
        <is>
          <t>2025 Topps All Kings Vladimir Guerrero Jr. #AK-10 CGC AUTH</t>
        </is>
      </c>
      <c r="D22" t="inlineStr">
        <is>
          <t>2026-02-21</t>
        </is>
      </c>
      <c r="E22" s="2" t="n">
        <v>305</v>
      </c>
      <c r="F22" t="inlineStr">
        <is>
          <t>2025 Topps PSA 10 Vladimir Guerrero Jr ALL KINGS Case Hit #AK-10 Blue Jays</t>
        </is>
      </c>
      <c r="G22" s="2" t="n">
        <v>750</v>
      </c>
      <c r="H22" t="n">
        <v>25</v>
      </c>
      <c r="I22" s="3" t="n"/>
      <c r="J22" s="2">
        <f>IF(I22&lt;&gt;"",I22,G22)</f>
        <v/>
      </c>
      <c r="K22" s="2">
        <f>E22-J22</f>
        <v/>
      </c>
      <c r="L22" s="4">
        <f>IF(J22&gt;0,K22/J22,"")</f>
        <v/>
      </c>
    </row>
    <row r="23">
      <c r="A23" t="n">
        <v>22</v>
      </c>
      <c r="B23" t="inlineStr">
        <is>
          <t>Whatnot</t>
        </is>
      </c>
      <c r="C23" t="inlineStr">
        <is>
          <t>2025 Bowman Chrome Yellow Refractor Mike Trout /75 #27 CGC AUTH</t>
        </is>
      </c>
      <c r="D23" t="inlineStr">
        <is>
          <t>2026-04-12</t>
        </is>
      </c>
      <c r="E23" s="2" t="n">
        <v>9.600000000000001</v>
      </c>
      <c r="F23" t="inlineStr">
        <is>
          <t>2025-26 Chrome Cooper Flagg #251 RC Yellow Basketball Refractor Border /275</t>
        </is>
      </c>
      <c r="G23" s="2" t="n">
        <v>454</v>
      </c>
      <c r="H23" t="n">
        <v>21</v>
      </c>
      <c r="I23" s="3" t="n"/>
      <c r="J23" s="2">
        <f>IF(I23&lt;&gt;"",I23,G23)</f>
        <v/>
      </c>
      <c r="K23" s="2">
        <f>E23-J23</f>
        <v/>
      </c>
      <c r="L23" s="4">
        <f>IF(J23&gt;0,K23/J23,"")</f>
        <v/>
      </c>
    </row>
    <row r="24">
      <c r="A24" t="n">
        <v>23</v>
      </c>
      <c r="B24" t="inlineStr">
        <is>
          <t>Whatnot</t>
        </is>
      </c>
      <c r="C24" t="inlineStr">
        <is>
          <t>2019 Topps Chrome Vladimir Guerrero Jr. ROOKIE #201 CGC AUTH</t>
        </is>
      </c>
      <c r="D24" t="inlineStr">
        <is>
          <t>2026-04-12</t>
        </is>
      </c>
      <c r="E24" s="2" t="n">
        <v>3.300000000000001</v>
      </c>
      <c r="F24" t="inlineStr">
        <is>
          <t>2019 Topps Chrome Vladimir Guerrero Jr. RC Auto Purple Refractor 250/250 Bookend</t>
        </is>
      </c>
      <c r="G24" s="2" t="n">
        <v>430</v>
      </c>
      <c r="H24" t="n">
        <v>26</v>
      </c>
      <c r="I24" s="3" t="n"/>
      <c r="J24" s="2">
        <f>IF(I24&lt;&gt;"",I24,G24)</f>
        <v/>
      </c>
      <c r="K24" s="2">
        <f>E24-J24</f>
        <v/>
      </c>
      <c r="L24" s="4">
        <f>IF(J24&gt;0,K24/J24,"")</f>
        <v/>
      </c>
    </row>
    <row r="25">
      <c r="A25" t="n">
        <v>24</v>
      </c>
      <c r="B25" t="inlineStr">
        <is>
          <t>Whatnot</t>
        </is>
      </c>
      <c r="C25" t="inlineStr">
        <is>
          <t>2025 Panini The National VIP Wave Nikola Jokic AUTO /10 #20 CGC AUTH</t>
        </is>
      </c>
      <c r="D25" t="inlineStr">
        <is>
          <t>2026-02-21</t>
        </is>
      </c>
      <c r="E25" s="2" t="n">
        <v>201.25</v>
      </c>
      <c r="F25" t="inlineStr">
        <is>
          <t>2025 National Panini Gold Pack VIP Nikola Jokic Silver Wave Prizm Auto /10 MINT</t>
        </is>
      </c>
      <c r="G25" s="2" t="n">
        <v>550</v>
      </c>
      <c r="H25" t="n">
        <v>25</v>
      </c>
      <c r="I25" s="3" t="n"/>
      <c r="J25" s="2">
        <f>IF(I25&lt;&gt;"",I25,G25)</f>
        <v/>
      </c>
      <c r="K25" s="2">
        <f>E25-J25</f>
        <v/>
      </c>
      <c r="L25" s="4">
        <f>IF(J25&gt;0,K25/J25,"")</f>
        <v/>
      </c>
    </row>
    <row r="26">
      <c r="A26" t="n">
        <v>25</v>
      </c>
      <c r="B26" t="inlineStr">
        <is>
          <t>Whatnot</t>
        </is>
      </c>
      <c r="C26" t="inlineStr">
        <is>
          <t>2024 Bowman Chrome University Black &amp; Gold Stealth Refractor Dame Sarr ROOKIE /24 #17 CGC AUTH</t>
        </is>
      </c>
      <c r="D26" t="inlineStr">
        <is>
          <t>2026-03-22</t>
        </is>
      </c>
      <c r="E26" s="2" t="n">
        <v>2.25</v>
      </c>
      <c r="F26" t="inlineStr">
        <is>
          <t>2024 Bowman U Now Hannah Hidalgo Notre Dame Purple Auto Psa 9 /25 #17B</t>
        </is>
      </c>
      <c r="G26" s="2" t="n">
        <v>350</v>
      </c>
      <c r="H26" t="n">
        <v>22</v>
      </c>
      <c r="I26" s="3" t="n"/>
      <c r="J26" s="2">
        <f>IF(I26&lt;&gt;"",I26,G26)</f>
        <v/>
      </c>
      <c r="K26" s="2">
        <f>E26-J26</f>
        <v/>
      </c>
      <c r="L26" s="4">
        <f>IF(J26&gt;0,K26/J26,"")</f>
        <v/>
      </c>
    </row>
    <row r="27">
      <c r="A27" t="n">
        <v>26</v>
      </c>
      <c r="B27" t="inlineStr">
        <is>
          <t>Whatnot</t>
        </is>
      </c>
      <c r="C27" t="inlineStr">
        <is>
          <t>2024 Panini The National VIP Julius Erving /44 #28 CGC AUTH</t>
        </is>
      </c>
      <c r="D27" t="inlineStr">
        <is>
          <t>2026-03-22</t>
        </is>
      </c>
      <c r="E27" s="2" t="n">
        <v>4.350000000000001</v>
      </c>
      <c r="F27" t="inlineStr">
        <is>
          <t>Jared McCain 2024-25 Panini Immaculate Rookie Patch Auto Blue 28/49 RC #122</t>
        </is>
      </c>
      <c r="G27" s="2" t="n">
        <v>338</v>
      </c>
      <c r="H27" t="n">
        <v>17</v>
      </c>
      <c r="I27" s="3" t="n"/>
      <c r="J27" s="2">
        <f>IF(I27&lt;&gt;"",I27,G27)</f>
        <v/>
      </c>
      <c r="K27" s="2">
        <f>E27-J27</f>
        <v/>
      </c>
      <c r="L27" s="4">
        <f>IF(J27&gt;0,K27/J27,"")</f>
        <v/>
      </c>
    </row>
    <row r="28">
      <c r="A28" t="n">
        <v>27</v>
      </c>
      <c r="B28" t="inlineStr">
        <is>
          <t>Whatnot</t>
        </is>
      </c>
      <c r="C28" t="inlineStr">
        <is>
          <t>2024 Panini The National VIP National Mickey Mantle /44 #42 CGC AUTH</t>
        </is>
      </c>
      <c r="D28" t="inlineStr">
        <is>
          <t>2026-03-22</t>
        </is>
      </c>
      <c r="E28" s="2" t="n">
        <v>9.600000000000001</v>
      </c>
      <c r="F28" t="inlineStr">
        <is>
          <t>2024 Panini NSCC VIP GOLD Victor Wembanyama Rookie Red Sparkle 142/149</t>
        </is>
      </c>
      <c r="G28" s="2" t="n">
        <v>340</v>
      </c>
      <c r="H28" t="n">
        <v>17</v>
      </c>
      <c r="I28" s="3" t="n"/>
      <c r="J28" s="2">
        <f>IF(I28&lt;&gt;"",I28,G28)</f>
        <v/>
      </c>
      <c r="K28" s="2">
        <f>E28-J28</f>
        <v/>
      </c>
      <c r="L28" s="4">
        <f>IF(J28&gt;0,K28/J28,"")</f>
        <v/>
      </c>
    </row>
    <row r="29">
      <c r="A29" t="n">
        <v>28</v>
      </c>
      <c r="B29" t="inlineStr">
        <is>
          <t>Whatnot</t>
        </is>
      </c>
      <c r="C29" t="inlineStr">
        <is>
          <t>2025 Donruss Rated Throwback Bhayshul Tuten ROOKIE AUTO /49 #38 CGC AUTH</t>
        </is>
      </c>
      <c r="D29" t="inlineStr">
        <is>
          <t>2026-05-03</t>
        </is>
      </c>
      <c r="E29" s="2" t="n">
        <v>9.600000000000001</v>
      </c>
      <c r="F29" t="inlineStr">
        <is>
          <t>2025 Bowman - Chrome Prospects Luis Pena #BCP-38 Gold Shimmer /50 (RC) PSA 10</t>
        </is>
      </c>
      <c r="G29" s="2" t="n">
        <v>325</v>
      </c>
      <c r="H29" t="n">
        <v>15</v>
      </c>
      <c r="I29" s="3" t="n"/>
      <c r="J29" s="2">
        <f>IF(I29&lt;&gt;"",I29,G29)</f>
        <v/>
      </c>
      <c r="K29" s="2">
        <f>E29-J29</f>
        <v/>
      </c>
      <c r="L29" s="4">
        <f>IF(J29&gt;0,K29/J29,"")</f>
        <v/>
      </c>
    </row>
    <row r="30">
      <c r="A30" t="n">
        <v>29</v>
      </c>
      <c r="B30" t="inlineStr">
        <is>
          <t>Whatnot</t>
        </is>
      </c>
      <c r="C30" t="inlineStr">
        <is>
          <t>2024 Immaculate Collection Blue Jared McCain ROOKIE PATCH AUTO /49 #122 CGC AUTH</t>
        </is>
      </c>
      <c r="D30" t="inlineStr">
        <is>
          <t>2026-02-21</t>
        </is>
      </c>
      <c r="E30" s="2" t="n">
        <v>27.45</v>
      </c>
      <c r="F30" t="inlineStr">
        <is>
          <t>Jared McCain 2024-25 Panini Immaculate Rookie Patch Auto Blue 28/49 RC #122</t>
        </is>
      </c>
      <c r="G30" s="2" t="n">
        <v>338</v>
      </c>
      <c r="H30" t="n">
        <v>26</v>
      </c>
      <c r="I30" s="3" t="n"/>
      <c r="J30" s="2">
        <f>IF(I30&lt;&gt;"",I30,G30)</f>
        <v/>
      </c>
      <c r="K30" s="2">
        <f>E30-J30</f>
        <v/>
      </c>
      <c r="L30" s="4">
        <f>IF(J30&gt;0,K30/J30,"")</f>
        <v/>
      </c>
    </row>
    <row r="31">
      <c r="A31" t="n">
        <v>30</v>
      </c>
      <c r="B31" t="inlineStr">
        <is>
          <t>Whatnot</t>
        </is>
      </c>
      <c r="C31" t="inlineStr">
        <is>
          <t>2024 Topps Chrome UFC Refractor Shara Magomedov ROOKIE AUTO #141 PSA 9 MINT</t>
        </is>
      </c>
      <c r="D31" t="inlineStr">
        <is>
          <t>2026-03-29</t>
        </is>
      </c>
      <c r="E31" s="2" t="n">
        <v>22.2</v>
      </c>
      <c r="F31" t="inlineStr">
        <is>
          <t>2024 Topps Chrome UFC #141 Shara Magomedov Purple Rookie Auto Psa MINT 9/9 RC</t>
        </is>
      </c>
      <c r="G31" s="2" t="n">
        <v>325</v>
      </c>
      <c r="H31" t="n">
        <v>26</v>
      </c>
      <c r="I31" s="3" t="n"/>
      <c r="J31" s="2">
        <f>IF(I31&lt;&gt;"",I31,G31)</f>
        <v/>
      </c>
      <c r="K31" s="2">
        <f>E31-J31</f>
        <v/>
      </c>
      <c r="L31" s="4">
        <f>IF(J31&gt;0,K31/J31,"")</f>
        <v/>
      </c>
    </row>
    <row r="32">
      <c r="A32" t="n">
        <v>31</v>
      </c>
      <c r="B32" t="inlineStr">
        <is>
          <t>Whatnot</t>
        </is>
      </c>
      <c r="C32" t="inlineStr">
        <is>
          <t>2025 Panini The National VIP Hello Cracked Ice Caitlin Clark /45 #CC CGC AUTH</t>
        </is>
      </c>
      <c r="D32" t="inlineStr">
        <is>
          <t>2026-02-21</t>
        </is>
      </c>
      <c r="E32" s="2" t="n">
        <v>85.14999999999999</v>
      </c>
      <c r="F32" t="inlineStr">
        <is>
          <t>2025 PANINI NSCC VIP GOLD GOLD PANINI #1 CAITLIN CLARK PSA 10</t>
        </is>
      </c>
      <c r="G32" s="2" t="n">
        <v>385</v>
      </c>
      <c r="H32" t="n">
        <v>21</v>
      </c>
      <c r="I32" s="3" t="n"/>
      <c r="J32" s="2">
        <f>IF(I32&lt;&gt;"",I32,G32)</f>
        <v/>
      </c>
      <c r="K32" s="2">
        <f>E32-J32</f>
        <v/>
      </c>
      <c r="L32" s="4">
        <f>IF(J32&gt;0,K32/J32,"")</f>
        <v/>
      </c>
    </row>
    <row r="33">
      <c r="A33" t="n">
        <v>32</v>
      </c>
      <c r="B33" t="inlineStr">
        <is>
          <t>Whatnot</t>
        </is>
      </c>
      <c r="C33" t="inlineStr">
        <is>
          <t>2024 Topps Chrome UFC Blue Shara Magomedov ROOKIE AUTO DNA 10 /150 #141 PSA 9 MINT</t>
        </is>
      </c>
      <c r="D33" t="inlineStr">
        <is>
          <t>2026-03-22</t>
        </is>
      </c>
      <c r="E33" s="2" t="n">
        <v>32.55</v>
      </c>
      <c r="F33" t="inlineStr">
        <is>
          <t>2024 Topps Chrome UFC #141 Shara Magomedov Blue /150 Rookie Auto Psa MINT 9/10</t>
        </is>
      </c>
      <c r="G33" s="2" t="n">
        <v>325</v>
      </c>
      <c r="H33" t="n">
        <v>28</v>
      </c>
      <c r="I33" s="3" t="n"/>
      <c r="J33" s="2">
        <f>IF(I33&lt;&gt;"",I33,G33)</f>
        <v/>
      </c>
      <c r="K33" s="2">
        <f>E33-J33</f>
        <v/>
      </c>
      <c r="L33" s="4">
        <f>IF(J33&gt;0,K33/J33,"")</f>
        <v/>
      </c>
    </row>
    <row r="34">
      <c r="A34" t="n">
        <v>33</v>
      </c>
      <c r="B34" t="inlineStr">
        <is>
          <t>Whatnot</t>
        </is>
      </c>
      <c r="C34" t="inlineStr">
        <is>
          <t>2024 National Treasures Quad Jared McCain ROOKIE PATCH AUTO /99 #RMQ-MCC CGC AUTH</t>
        </is>
      </c>
      <c r="D34" t="inlineStr">
        <is>
          <t>2026-03-01</t>
        </is>
      </c>
      <c r="E34" s="2" t="n">
        <v>158.25</v>
      </c>
      <c r="F34" t="inlineStr">
        <is>
          <t>2024 NATIONAL TREASURES ROOKIE MATERIALS AUTO DUAL JARED MCCAIN RC /99 PSA 10</t>
        </is>
      </c>
      <c r="G34" s="2" t="n">
        <v>450</v>
      </c>
      <c r="H34" t="n">
        <v>21</v>
      </c>
      <c r="I34" s="3" t="n"/>
      <c r="J34" s="2">
        <f>IF(I34&lt;&gt;"",I34,G34)</f>
        <v/>
      </c>
      <c r="K34" s="2">
        <f>E34-J34</f>
        <v/>
      </c>
      <c r="L34" s="4">
        <f>IF(J34&gt;0,K34/J34,"")</f>
        <v/>
      </c>
    </row>
    <row r="35">
      <c r="A35" t="n">
        <v>34</v>
      </c>
      <c r="B35" t="inlineStr">
        <is>
          <t>Whatnot</t>
        </is>
      </c>
      <c r="C35" t="inlineStr">
        <is>
          <t>2024 Topps Chrome UFC Purple Shara Magomedov ROOKIE AUTO DNA 9 #141 PSA 9 MINT</t>
        </is>
      </c>
      <c r="D35" t="inlineStr">
        <is>
          <t>2026-03-22</t>
        </is>
      </c>
      <c r="E35" s="2" t="n">
        <v>37.8</v>
      </c>
      <c r="F35" t="inlineStr">
        <is>
          <t>2024 Topps Chrome UFC #141 Shara Magomedov Purple Rookie Auto Psa MINT 9/9 RC</t>
        </is>
      </c>
      <c r="G35" s="2" t="n">
        <v>325</v>
      </c>
      <c r="H35" t="n">
        <v>28</v>
      </c>
      <c r="I35" s="3" t="n"/>
      <c r="J35" s="2">
        <f>IF(I35&lt;&gt;"",I35,G35)</f>
        <v/>
      </c>
      <c r="K35" s="2">
        <f>E35-J35</f>
        <v/>
      </c>
      <c r="L35" s="4">
        <f>IF(J35&gt;0,K35/J35,"")</f>
        <v/>
      </c>
    </row>
    <row r="36">
      <c r="A36" t="n">
        <v>35</v>
      </c>
      <c r="B36" t="inlineStr">
        <is>
          <t>Whatnot</t>
        </is>
      </c>
      <c r="C36" t="inlineStr">
        <is>
          <t>2024 Panini One And One Jared McCain ROOKIE AUTO /99 #RA-JAR</t>
        </is>
      </c>
      <c r="D36" t="inlineStr">
        <is>
          <t>2026-03-01</t>
        </is>
      </c>
      <c r="E36" s="2" t="n">
        <v>55.9</v>
      </c>
      <c r="F36" t="inlineStr">
        <is>
          <t>2024-25 Panini One and One JARED MCCAIN ROOKIE PATCH ON CARD AUTO RUBY /25 76ers</t>
        </is>
      </c>
      <c r="G36" s="2" t="n">
        <v>340</v>
      </c>
      <c r="H36" t="n">
        <v>22</v>
      </c>
      <c r="I36" s="3" t="n"/>
      <c r="J36" s="2">
        <f>IF(I36&lt;&gt;"",I36,G36)</f>
        <v/>
      </c>
      <c r="K36" s="2">
        <f>E36-J36</f>
        <v/>
      </c>
      <c r="L36" s="4">
        <f>IF(J36&gt;0,K36/J36,"")</f>
        <v/>
      </c>
    </row>
    <row r="37">
      <c r="A37" t="n">
        <v>36</v>
      </c>
      <c r="B37" t="inlineStr">
        <is>
          <t>Whatnot</t>
        </is>
      </c>
      <c r="C37" t="inlineStr">
        <is>
          <t>2024 Immaculate Collection Jared McCain ROOKIE PATCH AUTO /99 #122 CGC AUTH</t>
        </is>
      </c>
      <c r="D37" t="inlineStr">
        <is>
          <t>2026-04-26</t>
        </is>
      </c>
      <c r="E37" s="2" t="n">
        <v>59.34999999999999</v>
      </c>
      <c r="F37" t="inlineStr">
        <is>
          <t>Jared McCain 2024-25 Panini Immaculate Rookie Patch Auto Blue 28/49 RC #122</t>
        </is>
      </c>
      <c r="G37" s="2" t="n">
        <v>338</v>
      </c>
      <c r="H37" t="n">
        <v>24</v>
      </c>
      <c r="I37" s="3" t="n"/>
      <c r="J37" s="2">
        <f>IF(I37&lt;&gt;"",I37,G37)</f>
        <v/>
      </c>
      <c r="K37" s="2">
        <f>E37-J37</f>
        <v/>
      </c>
      <c r="L37" s="4">
        <f>IF(J37&gt;0,K37/J37,"")</f>
        <v/>
      </c>
    </row>
    <row r="38">
      <c r="A38" t="n">
        <v>37</v>
      </c>
      <c r="B38" t="inlineStr">
        <is>
          <t>Whatnot</t>
        </is>
      </c>
      <c r="C38" t="inlineStr">
        <is>
          <t>2024 Panini One And One Jared McCain ROOKIE PATCH AUTO /99 #RJA-JAR</t>
        </is>
      </c>
      <c r="D38" t="inlineStr">
        <is>
          <t>2026-02-21</t>
        </is>
      </c>
      <c r="E38" s="2" t="n">
        <v>70.95</v>
      </c>
      <c r="F38" t="inlineStr">
        <is>
          <t>2024-25 Panini One and One JARED MCCAIN ROOKIE PATCH ON CARD AUTO RUBY /25 76ers</t>
        </is>
      </c>
      <c r="G38" s="2" t="n">
        <v>340</v>
      </c>
      <c r="H38" t="n">
        <v>22</v>
      </c>
      <c r="I38" s="3" t="n"/>
      <c r="J38" s="2">
        <f>IF(I38&lt;&gt;"",I38,G38)</f>
        <v/>
      </c>
      <c r="K38" s="2">
        <f>E38-J38</f>
        <v/>
      </c>
      <c r="L38" s="4">
        <f>IF(J38&gt;0,K38/J38,"")</f>
        <v/>
      </c>
    </row>
    <row r="39">
      <c r="A39" t="n">
        <v>38</v>
      </c>
      <c r="B39" t="inlineStr">
        <is>
          <t>Whatnot</t>
        </is>
      </c>
      <c r="C39" t="inlineStr">
        <is>
          <t>2024 Panini Silhouette NBA Cup FOTL Red Stephen Curry AUTO 1/7 #CUP-CUR</t>
        </is>
      </c>
      <c r="D39" t="inlineStr">
        <is>
          <t>2026-02-21</t>
        </is>
      </c>
      <c r="E39" s="2" t="n">
        <v>797.5000000000001</v>
      </c>
      <c r="F39" t="inlineStr">
        <is>
          <t>2024-25 Panini Silhouette NBA Cup FOTL Red #2 Stephen Curry AUTO 1/7 Warriors</t>
        </is>
      </c>
      <c r="G39" s="2" t="n">
        <v>1055</v>
      </c>
      <c r="H39" t="n">
        <v>22</v>
      </c>
      <c r="I39" s="3" t="n"/>
      <c r="J39" s="2">
        <f>IF(I39&lt;&gt;"",I39,G39)</f>
        <v/>
      </c>
      <c r="K39" s="2">
        <f>E39-J39</f>
        <v/>
      </c>
      <c r="L39" s="4">
        <f>IF(J39&gt;0,K39/J39,"")</f>
        <v/>
      </c>
    </row>
    <row r="40">
      <c r="A40" t="n">
        <v>39</v>
      </c>
      <c r="B40" t="inlineStr">
        <is>
          <t>Whatnot</t>
        </is>
      </c>
      <c r="C40" t="inlineStr">
        <is>
          <t>2024 Topps Chrome UFC Sepia Refractor Shara Magomedov ROOKIE AUTO DNA 10 #141 PSA 10 GEM MINT</t>
        </is>
      </c>
      <c r="D40" t="inlineStr">
        <is>
          <t>2026-03-29</t>
        </is>
      </c>
      <c r="E40" s="2" t="n">
        <v>72.25</v>
      </c>
      <c r="F40" t="inlineStr">
        <is>
          <t>2024 Topps Chrome UFC #141 Shara Magomedov Sepia Rookie Auto Psa GEM MT 10/10 RC</t>
        </is>
      </c>
      <c r="G40" s="2" t="n">
        <v>325</v>
      </c>
      <c r="H40" t="n">
        <v>28</v>
      </c>
      <c r="I40" s="3" t="n"/>
      <c r="J40" s="2">
        <f>IF(I40&lt;&gt;"",I40,G40)</f>
        <v/>
      </c>
      <c r="K40" s="2">
        <f>E40-J40</f>
        <v/>
      </c>
      <c r="L40" s="4">
        <f>IF(J40&gt;0,K40/J40,"")</f>
        <v/>
      </c>
    </row>
    <row r="41">
      <c r="A41" t="n">
        <v>40</v>
      </c>
      <c r="B41" t="inlineStr">
        <is>
          <t>Whatnot</t>
        </is>
      </c>
      <c r="C41" t="inlineStr">
        <is>
          <t>2025 Topps Sole Ambition Stephen Curry #SA-3 CGC AUTH</t>
        </is>
      </c>
      <c r="D41" t="inlineStr">
        <is>
          <t>2026-02-21</t>
        </is>
      </c>
      <c r="E41" s="2" t="n">
        <v>35.84</v>
      </c>
      <c r="F41" t="inlineStr">
        <is>
          <t>2025-26 Topps Stephen Curry Sole Ambition Case Hit #SA-3 Warriors</t>
        </is>
      </c>
      <c r="G41" s="2" t="n">
        <v>282.5</v>
      </c>
      <c r="H41" t="n">
        <v>25</v>
      </c>
      <c r="I41" s="3" t="n"/>
      <c r="J41" s="2">
        <f>IF(I41&lt;&gt;"",I41,G41)</f>
        <v/>
      </c>
      <c r="K41" s="2">
        <f>E41-J41</f>
        <v/>
      </c>
      <c r="L41" s="4">
        <f>IF(J41&gt;0,K41/J41,"")</f>
        <v/>
      </c>
    </row>
    <row r="42">
      <c r="A42" t="n">
        <v>41</v>
      </c>
      <c r="B42" t="inlineStr">
        <is>
          <t>Whatnot</t>
        </is>
      </c>
      <c r="C42" t="inlineStr">
        <is>
          <t>2025 Topps Chrome X's &amp; Whoa's Cooper Flagg ROOKIE #XW-8 CGC AUTH</t>
        </is>
      </c>
      <c r="D42" t="inlineStr">
        <is>
          <t>2026-03-29</t>
        </is>
      </c>
      <c r="E42" s="2" t="n">
        <v>10.65</v>
      </c>
      <c r="F42" t="inlineStr">
        <is>
          <t>2025 Topps Chrome Cooper Flagg X's and Whoa's Refractor #XW-8 RC Mavericks</t>
        </is>
      </c>
      <c r="G42" s="2" t="n">
        <v>255</v>
      </c>
      <c r="H42" t="n">
        <v>28</v>
      </c>
      <c r="I42" s="3" t="n"/>
      <c r="J42" s="2">
        <f>IF(I42&lt;&gt;"",I42,G42)</f>
        <v/>
      </c>
      <c r="K42" s="2">
        <f>E42-J42</f>
        <v/>
      </c>
      <c r="L42" s="4">
        <f>IF(J42&gt;0,K42/J42,"")</f>
        <v/>
      </c>
    </row>
    <row r="43">
      <c r="A43" t="n">
        <v>42</v>
      </c>
      <c r="B43" t="inlineStr">
        <is>
          <t>Whatnot</t>
        </is>
      </c>
      <c r="C43" t="inlineStr">
        <is>
          <t>2019 Crown Royale Silhouettes '22 Black Box Tyler Herro ROOKIE PATCH AUTO 1/1 #132</t>
        </is>
      </c>
      <c r="D43" t="inlineStr">
        <is>
          <t>2026-02-21</t>
        </is>
      </c>
      <c r="E43" s="2" t="n">
        <v>172</v>
      </c>
      <c r="F43" t="inlineStr">
        <is>
          <t>TYLER HERRO 2019-20 CROWN ROYALE #132 ROOKIE SILHOUETTES PRIME PATCH AUTO BB 1/1</t>
        </is>
      </c>
      <c r="G43" s="2" t="n">
        <v>409</v>
      </c>
      <c r="H43" t="n">
        <v>28</v>
      </c>
      <c r="I43" s="3" t="n"/>
      <c r="J43" s="2">
        <f>IF(I43&lt;&gt;"",I43,G43)</f>
        <v/>
      </c>
      <c r="K43" s="2">
        <f>E43-J43</f>
        <v/>
      </c>
      <c r="L43" s="4">
        <f>IF(J43&gt;0,K43/J43,"")</f>
        <v/>
      </c>
    </row>
    <row r="44">
      <c r="A44" t="n">
        <v>43</v>
      </c>
      <c r="B44" t="inlineStr">
        <is>
          <t>Whatnot</t>
        </is>
      </c>
      <c r="C44" t="inlineStr">
        <is>
          <t>2024 Panini Origins Origin Stories Green Stephen Curry /5 #4 CGC AUTH</t>
        </is>
      </c>
      <c r="D44" t="inlineStr">
        <is>
          <t>2026-02-21</t>
        </is>
      </c>
      <c r="E44" s="2" t="n">
        <v>250</v>
      </c>
      <c r="F44" t="inlineStr">
        <is>
          <t>Stephen Curry #4  2/5 Origin Stories Green   2024-25 Panini Origins  Warriors</t>
        </is>
      </c>
      <c r="G44" s="2" t="n">
        <v>480</v>
      </c>
      <c r="H44" t="n">
        <v>32</v>
      </c>
      <c r="I44" s="3" t="n"/>
      <c r="J44" s="2">
        <f>IF(I44&lt;&gt;"",I44,G44)</f>
        <v/>
      </c>
      <c r="K44" s="2">
        <f>E44-J44</f>
        <v/>
      </c>
      <c r="L44" s="4">
        <f>IF(J44&gt;0,K44/J44,"")</f>
        <v/>
      </c>
    </row>
    <row r="45">
      <c r="A45" t="n">
        <v>44</v>
      </c>
      <c r="B45" t="inlineStr">
        <is>
          <t>Whatnot</t>
        </is>
      </c>
      <c r="C45" t="inlineStr">
        <is>
          <t>2024 Immaculate Collection Gold Jared McCain ROOKIE PATCH AUTO /10 #122 CGC AUTH</t>
        </is>
      </c>
      <c r="D45" t="inlineStr">
        <is>
          <t>2026-05-03</t>
        </is>
      </c>
      <c r="E45" s="2" t="n">
        <v>120.63</v>
      </c>
      <c r="F45" t="inlineStr">
        <is>
          <t>Jared McCain 2024-25 Panini Immaculate Rookie Patch Auto Blue 28/49 RC #122</t>
        </is>
      </c>
      <c r="G45" s="2" t="n">
        <v>338</v>
      </c>
      <c r="H45" t="n">
        <v>24</v>
      </c>
      <c r="I45" s="3" t="n"/>
      <c r="J45" s="2">
        <f>IF(I45&lt;&gt;"",I45,G45)</f>
        <v/>
      </c>
      <c r="K45" s="2">
        <f>E45-J45</f>
        <v/>
      </c>
      <c r="L45" s="4">
        <f>IF(J45&gt;0,K45/J45,"")</f>
        <v/>
      </c>
    </row>
    <row r="46">
      <c r="A46" t="n">
        <v>45</v>
      </c>
      <c r="B46" t="inlineStr">
        <is>
          <t>Whatnot</t>
        </is>
      </c>
      <c r="C46" t="inlineStr">
        <is>
          <t>2025 Topps Archives Aqua Scope Foilboard Roki Sasaki ROOKIE /75 #200 CGC AUTH</t>
        </is>
      </c>
      <c r="D46" t="inlineStr">
        <is>
          <t>2026-04-12</t>
        </is>
      </c>
      <c r="E46" s="2" t="n">
        <v>13.8</v>
      </c>
      <c r="F46" t="inlineStr">
        <is>
          <t>2025-26 Topps Finest Cooper Flagg Uncommon Purple Refractor RC /200</t>
        </is>
      </c>
      <c r="G46" s="2" t="n">
        <v>229.99</v>
      </c>
      <c r="H46" t="n">
        <v>17</v>
      </c>
      <c r="I46" s="3" t="n"/>
      <c r="J46" s="2">
        <f>IF(I46&lt;&gt;"",I46,G46)</f>
        <v/>
      </c>
      <c r="K46" s="2">
        <f>E46-J46</f>
        <v/>
      </c>
      <c r="L46" s="4">
        <f>IF(J46&gt;0,K46/J46,"")</f>
        <v/>
      </c>
    </row>
    <row r="47">
      <c r="A47" t="n">
        <v>46</v>
      </c>
      <c r="B47" t="inlineStr">
        <is>
          <t>Whatnot</t>
        </is>
      </c>
      <c r="C47" t="inlineStr">
        <is>
          <t>2024 Panini Noir Color Holo Gold Jared McCain ROOKIE PATCH AUTO /25 #360 CGC AUTH</t>
        </is>
      </c>
      <c r="D47" t="inlineStr">
        <is>
          <t>2026-02-21</t>
        </is>
      </c>
      <c r="E47" s="2" t="n">
        <v>142.125</v>
      </c>
      <c r="F47" t="inlineStr">
        <is>
          <t>20/25 JSY #1/1 2024-25 Panini Noir Jared Mccain #360 RC Rookie Auto Patch</t>
        </is>
      </c>
      <c r="G47" s="2" t="n">
        <v>338</v>
      </c>
      <c r="H47" t="n">
        <v>26</v>
      </c>
      <c r="I47" s="3" t="n"/>
      <c r="J47" s="2">
        <f>IF(I47&lt;&gt;"",I47,G47)</f>
        <v/>
      </c>
      <c r="K47" s="2">
        <f>E47-J47</f>
        <v/>
      </c>
      <c r="L47" s="4">
        <f>IF(J47&gt;0,K47/J47,"")</f>
        <v/>
      </c>
    </row>
    <row r="48">
      <c r="A48" t="n">
        <v>47</v>
      </c>
      <c r="B48" t="inlineStr">
        <is>
          <t>Whatnot</t>
        </is>
      </c>
      <c r="C48" t="inlineStr">
        <is>
          <t>2025 Leaf Vivid Sports Prismatic Black Cameron Boozer AUTO 1/1 #VS-CB2 CGC AUTH</t>
        </is>
      </c>
      <c r="D48" t="inlineStr">
        <is>
          <t>2026-02-21</t>
        </is>
      </c>
      <c r="E48" s="2" t="n">
        <v>45.3</v>
      </c>
      <c r="F48" t="inlineStr">
        <is>
          <t>2025 Leaf Metal Patriotic 1/1 Cameron Boozer auto  #P-CB2 True 1/1</t>
        </is>
      </c>
      <c r="G48" s="2" t="n">
        <v>234</v>
      </c>
      <c r="H48" t="n">
        <v>16</v>
      </c>
      <c r="I48" s="3" t="n"/>
      <c r="J48" s="2">
        <f>IF(I48&lt;&gt;"",I48,G48)</f>
        <v/>
      </c>
      <c r="K48" s="2">
        <f>E48-J48</f>
        <v/>
      </c>
      <c r="L48" s="4">
        <f>IF(J48&gt;0,K48/J48,"")</f>
        <v/>
      </c>
    </row>
    <row r="49">
      <c r="A49" t="n">
        <v>48</v>
      </c>
      <c r="B49" t="inlineStr">
        <is>
          <t>Whatnot</t>
        </is>
      </c>
      <c r="C49" t="inlineStr">
        <is>
          <t>2024 Immaculate Collection Modern Marks Ausar Thompson AUTO /99 #MM-AST CGC AUTH</t>
        </is>
      </c>
      <c r="D49" t="inlineStr">
        <is>
          <t>2026-03-22</t>
        </is>
      </c>
      <c r="E49" s="2" t="n">
        <v>19.05</v>
      </c>
      <c r="F49" t="inlineStr">
        <is>
          <t>2024-25 Court Kings Stephon Castle Modern Strokes Burgundy /125 RC PSA 10 Gem #8</t>
        </is>
      </c>
      <c r="G49" s="2" t="n">
        <v>199.99</v>
      </c>
      <c r="H49" t="n">
        <v>12</v>
      </c>
      <c r="I49" s="3" t="n"/>
      <c r="J49" s="2">
        <f>IF(I49&lt;&gt;"",I49,G49)</f>
        <v/>
      </c>
      <c r="K49" s="2">
        <f>E49-J49</f>
        <v/>
      </c>
      <c r="L49" s="4">
        <f>IF(J49&gt;0,K49/J49,"")</f>
        <v/>
      </c>
    </row>
    <row r="50">
      <c r="A50" t="n">
        <v>49</v>
      </c>
      <c r="B50" t="inlineStr">
        <is>
          <t>Whatnot</t>
        </is>
      </c>
      <c r="C50" t="inlineStr">
        <is>
          <t>2024 Panini One And One Jumbo Red Jared McCain ROOKIE PATCH AUTO /25 #RJJ-JAR</t>
        </is>
      </c>
      <c r="D50" t="inlineStr">
        <is>
          <t>2026-02-21</t>
        </is>
      </c>
      <c r="E50" s="2" t="n">
        <v>161.25</v>
      </c>
      <c r="F50" t="inlineStr">
        <is>
          <t>2024-25 Panini One and One JARED MCCAIN ROOKIE PATCH ON CARD AUTO RUBY /25 76ers</t>
        </is>
      </c>
      <c r="G50" s="2" t="n">
        <v>340</v>
      </c>
      <c r="H50" t="n">
        <v>24</v>
      </c>
      <c r="I50" s="3" t="n"/>
      <c r="J50" s="2">
        <f>IF(I50&lt;&gt;"",I50,G50)</f>
        <v/>
      </c>
      <c r="K50" s="2">
        <f>E50-J50</f>
        <v/>
      </c>
      <c r="L50" s="4">
        <f>IF(J50&gt;0,K50/J50,"")</f>
        <v/>
      </c>
    </row>
    <row r="51">
      <c r="A51" t="n">
        <v>50</v>
      </c>
      <c r="B51" t="inlineStr">
        <is>
          <t>Whatnot</t>
        </is>
      </c>
      <c r="C51" t="inlineStr">
        <is>
          <t>2025 Topps Blackout Flash Drop LeBron James /50 #150 CGC AUTH</t>
        </is>
      </c>
      <c r="D51" t="inlineStr">
        <is>
          <t>2026-03-29</t>
        </is>
      </c>
      <c r="E51" s="2" t="n">
        <v>55.05</v>
      </c>
      <c r="F51" t="inlineStr">
        <is>
          <t>Lebron James 2025-26 Topps Basketball Black Friday Blackout #150 Lakers /50🔥</t>
        </is>
      </c>
      <c r="G51" s="2" t="n">
        <v>215</v>
      </c>
      <c r="H51" t="n">
        <v>23</v>
      </c>
      <c r="I51" s="3" t="n"/>
      <c r="J51" s="2">
        <f>IF(I51&lt;&gt;"",I51,G51)</f>
        <v/>
      </c>
      <c r="K51" s="2">
        <f>E51-J51</f>
        <v/>
      </c>
      <c r="L51" s="4">
        <f>IF(J51&gt;0,K51/J51,"")</f>
        <v/>
      </c>
    </row>
    <row r="52">
      <c r="A52" t="n">
        <v>51</v>
      </c>
      <c r="B52" t="inlineStr">
        <is>
          <t>Whatnot</t>
        </is>
      </c>
      <c r="C52" t="inlineStr">
        <is>
          <t>2025 Panini The National VIP Blue Cracked Ice Caitlin Clark /75 #CC CGC AUTH</t>
        </is>
      </c>
      <c r="D52" t="inlineStr">
        <is>
          <t>2026-03-01</t>
        </is>
      </c>
      <c r="E52" s="2" t="n">
        <v>228</v>
      </c>
      <c r="F52" t="inlineStr">
        <is>
          <t>2025 PANINI NSCC VIP GOLD GOLD PANINI #1 CAITLIN CLARK PSA 10</t>
        </is>
      </c>
      <c r="G52" s="2" t="n">
        <v>385</v>
      </c>
      <c r="H52" t="n">
        <v>21</v>
      </c>
      <c r="I52" s="3" t="n"/>
      <c r="J52" s="2">
        <f>IF(I52&lt;&gt;"",I52,G52)</f>
        <v/>
      </c>
      <c r="K52" s="2">
        <f>E52-J52</f>
        <v/>
      </c>
      <c r="L52" s="4">
        <f>IF(J52&gt;0,K52/J52,"")</f>
        <v/>
      </c>
    </row>
    <row r="53">
      <c r="A53" t="n">
        <v>52</v>
      </c>
      <c r="B53" t="inlineStr">
        <is>
          <t>Whatnot</t>
        </is>
      </c>
      <c r="C53" t="inlineStr">
        <is>
          <t>2025 Topps All Kings Egor Demin ROOKIE #AK-23 CGC AUTH</t>
        </is>
      </c>
      <c r="D53" t="inlineStr">
        <is>
          <t>2026-03-01</t>
        </is>
      </c>
      <c r="E53" s="2" t="n">
        <v>217</v>
      </c>
      <c r="F53" t="inlineStr">
        <is>
          <t>2025-26 Topps Basketball CASE HIT ALL KINGS Egor Demin Rookie Card #AK-23 SSP</t>
        </is>
      </c>
      <c r="G53" s="2" t="n">
        <v>365</v>
      </c>
      <c r="H53" t="n">
        <v>25</v>
      </c>
      <c r="I53" s="3" t="n"/>
      <c r="J53" s="2">
        <f>IF(I53&lt;&gt;"",I53,G53)</f>
        <v/>
      </c>
      <c r="K53" s="2">
        <f>E53-J53</f>
        <v/>
      </c>
      <c r="L53" s="4">
        <f>IF(J53&gt;0,K53/J53,"")</f>
        <v/>
      </c>
    </row>
    <row r="54">
      <c r="A54" t="n">
        <v>53</v>
      </c>
      <c r="B54" t="inlineStr">
        <is>
          <t>Whatnot</t>
        </is>
      </c>
      <c r="C54" t="inlineStr">
        <is>
          <t>2024 Immaculate Collection Sneaker Red Jared McCain ROOKIE PATCH AUTO /25 #SSS-JMC CGC AUTH</t>
        </is>
      </c>
      <c r="D54" t="inlineStr">
        <is>
          <t>2026-05-03</t>
        </is>
      </c>
      <c r="E54" s="2" t="n">
        <v>98.05</v>
      </c>
      <c r="F54" t="inlineStr">
        <is>
          <t>Jared McCain 2024-25 Panini immaculate RC Sneaker Auto /25 #SSS-JMC</t>
        </is>
      </c>
      <c r="G54" s="2" t="n">
        <v>238.79</v>
      </c>
      <c r="H54" t="n">
        <v>28</v>
      </c>
      <c r="I54" s="3" t="n"/>
      <c r="J54" s="2">
        <f>IF(I54&lt;&gt;"",I54,G54)</f>
        <v/>
      </c>
      <c r="K54" s="2">
        <f>E54-J54</f>
        <v/>
      </c>
      <c r="L54" s="4">
        <f>IF(J54&gt;0,K54/J54,"")</f>
        <v/>
      </c>
    </row>
    <row r="55">
      <c r="A55" t="n">
        <v>54</v>
      </c>
      <c r="B55" t="inlineStr">
        <is>
          <t>Whatnot</t>
        </is>
      </c>
      <c r="C55" t="inlineStr">
        <is>
          <t>2025 Topps Heritage Chrome Gold Border Refractor Elly De La Cruz 1/50 #263 CGC AUTH</t>
        </is>
      </c>
      <c r="D55" t="inlineStr">
        <is>
          <t>2026-04-12</t>
        </is>
      </c>
      <c r="E55" s="2" t="n">
        <v>44.25</v>
      </c>
      <c r="F55" t="inlineStr">
        <is>
          <t>ELLY De La CRUZ (1/1) (01/50) (GOLD CHROME REFRACTOR) 2025 Topps Heritage #263</t>
        </is>
      </c>
      <c r="G55" s="2" t="n">
        <v>179.99</v>
      </c>
      <c r="H55" t="n">
        <v>29</v>
      </c>
      <c r="I55" s="3" t="n"/>
      <c r="J55" s="2">
        <f>IF(I55&lt;&gt;"",I55,G55)</f>
        <v/>
      </c>
      <c r="K55" s="2">
        <f>E55-J55</f>
        <v/>
      </c>
      <c r="L55" s="4">
        <f>IF(J55&gt;0,K55/J55,"")</f>
        <v/>
      </c>
    </row>
    <row r="56">
      <c r="A56" t="n">
        <v>55</v>
      </c>
      <c r="B56" t="inlineStr">
        <is>
          <t>Whatnot</t>
        </is>
      </c>
      <c r="C56" t="inlineStr">
        <is>
          <t>2024 Panini Flawless Leaders Diamond Gems Gold Kevin Garnett /5 #169</t>
        </is>
      </c>
      <c r="D56" t="inlineStr">
        <is>
          <t>2026-02-21</t>
        </is>
      </c>
      <c r="E56" s="2" t="n">
        <v>66.64999999999999</v>
      </c>
      <c r="F56" t="inlineStr">
        <is>
          <t>2024-25 Panini Flawless Kevin Garnett #169 Legends Diamond Timberwolves /5</t>
        </is>
      </c>
      <c r="G56" s="2" t="n">
        <v>201.5</v>
      </c>
      <c r="H56" t="n">
        <v>28</v>
      </c>
      <c r="I56" s="3" t="n"/>
      <c r="J56" s="2">
        <f>IF(I56&lt;&gt;"",I56,G56)</f>
        <v/>
      </c>
      <c r="K56" s="2">
        <f>E56-J56</f>
        <v/>
      </c>
      <c r="L56" s="4">
        <f>IF(J56&gt;0,K56/J56,"")</f>
        <v/>
      </c>
    </row>
    <row r="57">
      <c r="A57" t="n">
        <v>56</v>
      </c>
      <c r="B57" t="inlineStr">
        <is>
          <t>Whatnot</t>
        </is>
      </c>
      <c r="C57" t="inlineStr">
        <is>
          <t>2021 Panini Obsidian Magnitude Evan Mobley ROOKIE /99 #17 CGC AUTH</t>
        </is>
      </c>
      <c r="D57" t="inlineStr">
        <is>
          <t>2026-03-22</t>
        </is>
      </c>
      <c r="E57" s="2" t="n">
        <v>2.25</v>
      </c>
      <c r="F57" t="inlineStr">
        <is>
          <t>2021 Topps Shohei Ohtani Through the Years #TTY-17 Angels</t>
        </is>
      </c>
      <c r="G57" s="2" t="n">
        <v>132.5</v>
      </c>
      <c r="H57" t="n">
        <v>15</v>
      </c>
      <c r="I57" s="3" t="n"/>
      <c r="J57" s="2">
        <f>IF(I57&lt;&gt;"",I57,G57)</f>
        <v/>
      </c>
      <c r="K57" s="2">
        <f>E57-J57</f>
        <v/>
      </c>
      <c r="L57" s="4">
        <f>IF(J57&gt;0,K57/J57,"")</f>
        <v/>
      </c>
    </row>
    <row r="58">
      <c r="A58" t="n">
        <v>57</v>
      </c>
      <c r="B58" t="inlineStr">
        <is>
          <t>Whatnot</t>
        </is>
      </c>
      <c r="C58" t="inlineStr">
        <is>
          <t>2024 Immaculate Collection FOTL Devin Booker /11 #85 CGC AUTH</t>
        </is>
      </c>
      <c r="D58" t="inlineStr">
        <is>
          <t>2026-03-22</t>
        </is>
      </c>
      <c r="E58" s="2" t="n">
        <v>19.05</v>
      </c>
      <c r="F58" t="inlineStr">
        <is>
          <t>TYRESE HALIBURTON 2024/25 TOPPS CHROME 1973 RED REFRACTOR AUTO #5/5 (RARE) T6685</t>
        </is>
      </c>
      <c r="G58" s="2" t="n">
        <v>145</v>
      </c>
      <c r="H58" t="n">
        <v>15</v>
      </c>
      <c r="I58" s="3" t="n"/>
      <c r="J58" s="2">
        <f>IF(I58&lt;&gt;"",I58,G58)</f>
        <v/>
      </c>
      <c r="K58" s="2">
        <f>E58-J58</f>
        <v/>
      </c>
      <c r="L58" s="4">
        <f>IF(J58&gt;0,K58/J58,"")</f>
        <v/>
      </c>
    </row>
    <row r="59">
      <c r="A59" t="n">
        <v>58</v>
      </c>
      <c r="B59" t="inlineStr">
        <is>
          <t>Whatnot</t>
        </is>
      </c>
      <c r="C59" t="inlineStr">
        <is>
          <t>2022 Immaculate Collection Collegiate Red Chet Holmgren ROOKIE PATCH AUTO /15 #34 CGC AUTH</t>
        </is>
      </c>
      <c r="D59" t="inlineStr">
        <is>
          <t>2026-02-21</t>
        </is>
      </c>
      <c r="E59" s="2" t="n">
        <v>55.05</v>
      </c>
      <c r="F59" t="inlineStr">
        <is>
          <t>🔥2022-23 PANINI IMMACULATE CHET HOLMGREN RPA /15 RUBY COLLEGIATE TRUE #34</t>
        </is>
      </c>
      <c r="G59" s="2" t="n">
        <v>179.99</v>
      </c>
      <c r="H59" t="n">
        <v>26</v>
      </c>
      <c r="I59" s="3" t="n"/>
      <c r="J59" s="2">
        <f>IF(I59&lt;&gt;"",I59,G59)</f>
        <v/>
      </c>
      <c r="K59" s="2">
        <f>E59-J59</f>
        <v/>
      </c>
      <c r="L59" s="4">
        <f>IF(J59&gt;0,K59/J59,"")</f>
        <v/>
      </c>
    </row>
    <row r="60">
      <c r="A60" t="n">
        <v>59</v>
      </c>
      <c r="B60" t="inlineStr">
        <is>
          <t>Whatnot</t>
        </is>
      </c>
      <c r="C60" t="inlineStr">
        <is>
          <t>2023 National Treasures Pink Anthony Edwards 15/15 #93 CGC AUTH</t>
        </is>
      </c>
      <c r="D60" t="inlineStr">
        <is>
          <t>2026-03-22</t>
        </is>
      </c>
      <c r="E60" s="2" t="n">
        <v>52.9</v>
      </c>
      <c r="F60" t="inlineStr">
        <is>
          <t>2023-24 National Treasures Anthony Edwards 15/15 Pink Holo #93 Rare SSP Bookend</t>
        </is>
      </c>
      <c r="G60" s="2" t="n">
        <v>175</v>
      </c>
      <c r="H60" t="n">
        <v>28</v>
      </c>
      <c r="I60" s="3" t="n"/>
      <c r="J60" s="2">
        <f>IF(I60&lt;&gt;"",I60,G60)</f>
        <v/>
      </c>
      <c r="K60" s="2">
        <f>E60-J60</f>
        <v/>
      </c>
      <c r="L60" s="4">
        <f>IF(J60&gt;0,K60/J60,"")</f>
        <v/>
      </c>
    </row>
    <row r="61">
      <c r="A61" t="n">
        <v>60</v>
      </c>
      <c r="B61" t="inlineStr">
        <is>
          <t>Whatnot</t>
        </is>
      </c>
      <c r="C61" t="inlineStr">
        <is>
          <t>2024 Panini Prizm Black Silver Evan Mobley AUTO #121 CGC AUTH</t>
        </is>
      </c>
      <c r="D61" t="inlineStr">
        <is>
          <t>2026-04-26</t>
        </is>
      </c>
      <c r="E61" s="2" t="n">
        <v>8.550000000000001</v>
      </c>
      <c r="F61" t="inlineStr">
        <is>
          <t>Victor Wembanyama 2023 Panini Select Green White Purple Prizm RC #121 PSA 10</t>
        </is>
      </c>
      <c r="G61" s="2" t="n">
        <v>130</v>
      </c>
      <c r="H61" t="n">
        <v>17</v>
      </c>
      <c r="I61" s="3" t="n"/>
      <c r="J61" s="2">
        <f>IF(I61&lt;&gt;"",I61,G61)</f>
        <v/>
      </c>
      <c r="K61" s="2">
        <f>E61-J61</f>
        <v/>
      </c>
      <c r="L61" s="4">
        <f>IF(J61&gt;0,K61/J61,"")</f>
        <v/>
      </c>
    </row>
    <row r="62">
      <c r="A62" t="n">
        <v>61</v>
      </c>
      <c r="B62" t="inlineStr">
        <is>
          <t>Whatnot</t>
        </is>
      </c>
      <c r="C62" t="inlineStr">
        <is>
          <t>2022 Bowman Chrome University Victor Wembanyama ROOKIE #101 CGC AUTH</t>
        </is>
      </c>
      <c r="D62" t="inlineStr">
        <is>
          <t>2026-03-01</t>
        </is>
      </c>
      <c r="E62" s="2" t="n">
        <v>80.84999999999999</v>
      </c>
      <c r="F62" t="inlineStr">
        <is>
          <t>VICTOR WEMBANYAMA - 2022-23 Bowman University Chrome #101 SSP Case Hit Chase🔥</t>
        </is>
      </c>
      <c r="G62" s="2" t="n">
        <v>200</v>
      </c>
      <c r="H62" t="n">
        <v>28</v>
      </c>
      <c r="I62" s="3" t="n"/>
      <c r="J62" s="2">
        <f>IF(I62&lt;&gt;"",I62,G62)</f>
        <v/>
      </c>
      <c r="K62" s="2">
        <f>E62-J62</f>
        <v/>
      </c>
      <c r="L62" s="4">
        <f>IF(J62&gt;0,K62/J62,"")</f>
        <v/>
      </c>
    </row>
    <row r="63">
      <c r="A63" t="n">
        <v>62</v>
      </c>
      <c r="B63" t="inlineStr">
        <is>
          <t>Whatnot</t>
        </is>
      </c>
      <c r="C63" t="inlineStr">
        <is>
          <t>2024 Donruss Optic Black Pandora Rob Dillingham ROOKIE /15 #259 CGC AUTH</t>
        </is>
      </c>
      <c r="D63" t="inlineStr">
        <is>
          <t>2026-04-26</t>
        </is>
      </c>
      <c r="E63" s="2" t="n">
        <v>22.2</v>
      </c>
      <c r="F63" t="inlineStr">
        <is>
          <t>2024-25 Donruss Optic Rob Dillingham 259 Black Pandora Prizm Fotl /15 Grade It🔥</t>
        </is>
      </c>
      <c r="G63" s="2" t="n">
        <v>135</v>
      </c>
      <c r="H63" t="n">
        <v>30</v>
      </c>
      <c r="I63" s="3" t="n"/>
      <c r="J63" s="2">
        <f>IF(I63&lt;&gt;"",I63,G63)</f>
        <v/>
      </c>
      <c r="K63" s="2">
        <f>E63-J63</f>
        <v/>
      </c>
      <c r="L63" s="4">
        <f>IF(J63&gt;0,K63/J63,"")</f>
        <v/>
      </c>
    </row>
    <row r="64">
      <c r="A64" t="n">
        <v>63</v>
      </c>
      <c r="B64" t="inlineStr">
        <is>
          <t>Whatnot</t>
        </is>
      </c>
      <c r="C64" t="inlineStr">
        <is>
          <t>2024 Panini Prizm Draft Picks Rated Blue Wave VJ Edgecombe ROOKIE /249 #17 CGC AUTH</t>
        </is>
      </c>
      <c r="D64" t="inlineStr">
        <is>
          <t>2026-03-29</t>
        </is>
      </c>
      <c r="E64" s="2" t="n">
        <v>8.550000000000001</v>
      </c>
      <c r="F64" t="inlineStr">
        <is>
          <t>VJ EDGECOMBE 2024 Panini Prizm Draft Picks #17 RATED PROSPECT True Blue /199</t>
        </is>
      </c>
      <c r="G64" s="2" t="n">
        <v>119</v>
      </c>
      <c r="H64" t="n">
        <v>32</v>
      </c>
      <c r="I64" s="3" t="n"/>
      <c r="J64" s="2">
        <f>IF(I64&lt;&gt;"",I64,G64)</f>
        <v/>
      </c>
      <c r="K64" s="2">
        <f>E64-J64</f>
        <v/>
      </c>
      <c r="L64" s="4">
        <f>IF(J64&gt;0,K64/J64,"")</f>
        <v/>
      </c>
    </row>
    <row r="65">
      <c r="A65" t="n">
        <v>64</v>
      </c>
      <c r="B65" t="inlineStr">
        <is>
          <t>Whatnot</t>
        </is>
      </c>
      <c r="C65" t="inlineStr">
        <is>
          <t>2024 Immaculate Collection Modern Marks Silver Luis Suarez AUTO /25 #MM-LS CGC AUTH</t>
        </is>
      </c>
      <c r="D65" t="inlineStr">
        <is>
          <t>2026-02-21</t>
        </is>
      </c>
      <c r="E65" s="2" t="n">
        <v>67.95</v>
      </c>
      <c r="F65" t="inlineStr">
        <is>
          <t>2024-25 Panini Immaculate LUIS SUAREZ 11/25 Auto Silver Modern Marks #MM-LS</t>
        </is>
      </c>
      <c r="G65" s="2" t="n">
        <v>175.5</v>
      </c>
      <c r="H65" t="n">
        <v>30</v>
      </c>
      <c r="I65" s="3" t="n"/>
      <c r="J65" s="2">
        <f>IF(I65&lt;&gt;"",I65,G65)</f>
        <v/>
      </c>
      <c r="K65" s="2">
        <f>E65-J65</f>
        <v/>
      </c>
      <c r="L65" s="4">
        <f>IF(J65&gt;0,K65/J65,"")</f>
        <v/>
      </c>
    </row>
    <row r="66">
      <c r="A66" t="n">
        <v>65</v>
      </c>
      <c r="B66" t="inlineStr">
        <is>
          <t>Whatnot</t>
        </is>
      </c>
      <c r="C66" t="inlineStr">
        <is>
          <t>2024 Panini Prizm Draft Picks Rated Prospect Blue VJ Edgecombe ROOKIE /199 #17 CGC AUTH</t>
        </is>
      </c>
      <c r="D66" t="inlineStr">
        <is>
          <t>2026-03-29</t>
        </is>
      </c>
      <c r="E66" s="2" t="n">
        <v>13.65</v>
      </c>
      <c r="F66" t="inlineStr">
        <is>
          <t>VJ EDGECOMBE 2024 Panini Prizm Draft Picks #17 RATED PROSPECT True Blue /199</t>
        </is>
      </c>
      <c r="G66" s="2" t="n">
        <v>119</v>
      </c>
      <c r="H66" t="n">
        <v>34</v>
      </c>
      <c r="I66" s="3" t="n"/>
      <c r="J66" s="2">
        <f>IF(I66&lt;&gt;"",I66,G66)</f>
        <v/>
      </c>
      <c r="K66" s="2">
        <f>E66-J66</f>
        <v/>
      </c>
      <c r="L66" s="4">
        <f>IF(J66&gt;0,K66/J66,"")</f>
        <v/>
      </c>
    </row>
    <row r="67">
      <c r="A67" t="n">
        <v>66</v>
      </c>
      <c r="B67" t="inlineStr">
        <is>
          <t>Whatnot</t>
        </is>
      </c>
      <c r="C67" t="inlineStr">
        <is>
          <t>2024 Select FIFA Equalizers Pink Lamine Yamal /25 #17 CGC AUTH</t>
        </is>
      </c>
      <c r="D67" t="inlineStr">
        <is>
          <t>2026-02-21</t>
        </is>
      </c>
      <c r="E67" s="2" t="n">
        <v>46.35</v>
      </c>
      <c r="F67" t="inlineStr">
        <is>
          <t>2024-25 Panini Select FIFA LAMINE YAMAL 13/25 Pink Prizm Equalizers SP #17</t>
        </is>
      </c>
      <c r="G67" s="2" t="n">
        <v>150</v>
      </c>
      <c r="H67" t="n">
        <v>28</v>
      </c>
      <c r="I67" s="3" t="n"/>
      <c r="J67" s="2">
        <f>IF(I67&lt;&gt;"",I67,G67)</f>
        <v/>
      </c>
      <c r="K67" s="2">
        <f>E67-J67</f>
        <v/>
      </c>
      <c r="L67" s="4">
        <f>IF(J67&gt;0,K67/J67,"")</f>
        <v/>
      </c>
    </row>
    <row r="68">
      <c r="A68" t="n">
        <v>67</v>
      </c>
      <c r="B68" t="inlineStr">
        <is>
          <t>Whatnot</t>
        </is>
      </c>
      <c r="C68" t="inlineStr">
        <is>
          <t>2025 Bowman Chrome Mega Box Purple Refractor Jesus Made PROSPECT AUTO /199 #BMA-JM</t>
        </is>
      </c>
      <c r="D68" t="inlineStr">
        <is>
          <t>2026-02-21</t>
        </is>
      </c>
      <c r="E68" s="2" t="n">
        <v>96.75</v>
      </c>
      <c r="F68" t="inlineStr">
        <is>
          <t>2025 Bowman Chrome Megabox Mojo Jesus Made Purple Auto Redemption /199 #BMA-JM</t>
        </is>
      </c>
      <c r="G68" s="2" t="n">
        <v>199</v>
      </c>
      <c r="H68" t="n">
        <v>32</v>
      </c>
      <c r="I68" s="3" t="n"/>
      <c r="J68" s="2">
        <f>IF(I68&lt;&gt;"",I68,G68)</f>
        <v/>
      </c>
      <c r="K68" s="2">
        <f>E68-J68</f>
        <v/>
      </c>
      <c r="L68" s="4">
        <f>IF(J68&gt;0,K68/J68,"")</f>
        <v/>
      </c>
    </row>
    <row r="69">
      <c r="A69" t="n">
        <v>68</v>
      </c>
      <c r="B69" t="inlineStr">
        <is>
          <t>Whatnot</t>
        </is>
      </c>
      <c r="C69" t="inlineStr">
        <is>
          <t>2024 Panini Origins Elevation Red Jared McCain ROOKIE AUTO /49 #ES-JAR CGC AUTH</t>
        </is>
      </c>
      <c r="D69" t="inlineStr">
        <is>
          <t>2026-04-26</t>
        </is>
      </c>
      <c r="E69" s="2" t="n">
        <v>31.65</v>
      </c>
      <c r="F69" t="inlineStr">
        <is>
          <t>2024-25 Origins Jared McCain Elevation Signatures RC Red Auto #11/49 76ers</t>
        </is>
      </c>
      <c r="G69" s="2" t="n">
        <v>123.5</v>
      </c>
      <c r="H69" t="n">
        <v>23</v>
      </c>
      <c r="I69" s="3" t="n"/>
      <c r="J69" s="2">
        <f>IF(I69&lt;&gt;"",I69,G69)</f>
        <v/>
      </c>
      <c r="K69" s="2">
        <f>E69-J69</f>
        <v/>
      </c>
      <c r="L69" s="4">
        <f>IF(J69&gt;0,K69/J69,"")</f>
        <v/>
      </c>
    </row>
    <row r="70">
      <c r="A70" t="n">
        <v>69</v>
      </c>
      <c r="B70" t="inlineStr">
        <is>
          <t>Whatnot</t>
        </is>
      </c>
      <c r="C70" t="inlineStr">
        <is>
          <t>2002 Topps Xpectations Yao Ming AUTO #XA-YM CGC AUTH</t>
        </is>
      </c>
      <c r="D70" t="inlineStr">
        <is>
          <t>2026-03-22</t>
        </is>
      </c>
      <c r="E70" s="2" t="n">
        <v>206.63</v>
      </c>
      <c r="F70" t="inlineStr">
        <is>
          <t>🏀2002-03 Topps Xpectations Yao Ming Autographs Rookie Auto RC #XA-YM;🏀</t>
        </is>
      </c>
      <c r="G70" s="2" t="n">
        <v>297.28</v>
      </c>
      <c r="H70" t="n">
        <v>23</v>
      </c>
      <c r="I70" s="3" t="n"/>
      <c r="J70" s="2">
        <f>IF(I70&lt;&gt;"",I70,G70)</f>
        <v/>
      </c>
      <c r="K70" s="2">
        <f>E70-J70</f>
        <v/>
      </c>
      <c r="L70" s="4">
        <f>IF(J70&gt;0,K70/J70,"")</f>
        <v/>
      </c>
    </row>
    <row r="71">
      <c r="A71" t="n">
        <v>70</v>
      </c>
      <c r="B71" t="inlineStr">
        <is>
          <t>Whatnot</t>
        </is>
      </c>
      <c r="C71" t="inlineStr">
        <is>
          <t>2025 Topps Chrome Gold Geometric Refractor Jayson Tatum /50 #49 CGC AUTH</t>
        </is>
      </c>
      <c r="D71" t="inlineStr">
        <is>
          <t>2026-04-26</t>
        </is>
      </c>
      <c r="E71" s="2" t="n">
        <v>100.2</v>
      </c>
      <c r="F71" t="inlineStr">
        <is>
          <t>2025-26 Topps Chrome Basketball #49 Jayson Tatum Gold Geometric Ref /50 SP</t>
        </is>
      </c>
      <c r="G71" s="2" t="n">
        <v>180</v>
      </c>
      <c r="H71" t="n">
        <v>30</v>
      </c>
      <c r="I71" s="3" t="n"/>
      <c r="J71" s="2">
        <f>IF(I71&lt;&gt;"",I71,G71)</f>
        <v/>
      </c>
      <c r="K71" s="2">
        <f>E71-J71</f>
        <v/>
      </c>
      <c r="L71" s="4">
        <f>IF(J71&gt;0,K71/J71,"")</f>
        <v/>
      </c>
    </row>
    <row r="72">
      <c r="A72" t="n">
        <v>71</v>
      </c>
      <c r="B72" t="inlineStr">
        <is>
          <t>Whatnot</t>
        </is>
      </c>
      <c r="C72" t="inlineStr">
        <is>
          <t>2024 Immaculate Collection Premium Jared McCain ROOKIE PATCH AUTO /50 #PPA-JMC CGC AUTH</t>
        </is>
      </c>
      <c r="D72" t="inlineStr">
        <is>
          <t>2026-04-26</t>
        </is>
      </c>
      <c r="E72" s="2" t="n">
        <v>163.625</v>
      </c>
      <c r="F72" t="inlineStr">
        <is>
          <t>Jared McCain 2024-25 Panini immaculate RC Sneaker Auto /25 #SSS-JMC</t>
        </is>
      </c>
      <c r="G72" s="2" t="n">
        <v>238.79</v>
      </c>
      <c r="H72" t="n">
        <v>19</v>
      </c>
      <c r="I72" s="3" t="n"/>
      <c r="J72" s="2">
        <f>IF(I72&lt;&gt;"",I72,G72)</f>
        <v/>
      </c>
      <c r="K72" s="2">
        <f>E72-J72</f>
        <v/>
      </c>
      <c r="L72" s="4">
        <f>IF(J72&gt;0,K72/J72,"")</f>
        <v/>
      </c>
    </row>
    <row r="73">
      <c r="A73" t="n">
        <v>72</v>
      </c>
      <c r="B73" t="inlineStr">
        <is>
          <t>Whatnot</t>
        </is>
      </c>
      <c r="C73" t="inlineStr">
        <is>
          <t>2024 Panini Prizm Deca Gold Shimmer FOTL Shaedon Sharpe AUTO /10 #PDS-SHA CGC AUTH</t>
        </is>
      </c>
      <c r="D73" t="inlineStr">
        <is>
          <t>2026-03-01</t>
        </is>
      </c>
      <c r="E73" s="2" t="n">
        <v>158.25</v>
      </c>
      <c r="F73" t="inlineStr">
        <is>
          <t>2024-25 Prizm Deca Shaedon Sharpe Gold Auto 4/10 Portland Trailblazers</t>
        </is>
      </c>
      <c r="G73" s="2" t="n">
        <v>231.5</v>
      </c>
      <c r="H73" t="n">
        <v>23</v>
      </c>
      <c r="I73" s="3" t="n"/>
      <c r="J73" s="2">
        <f>IF(I73&lt;&gt;"",I73,G73)</f>
        <v/>
      </c>
      <c r="K73" s="2">
        <f>E73-J73</f>
        <v/>
      </c>
      <c r="L73" s="4">
        <f>IF(J73&gt;0,K73/J73,"")</f>
        <v/>
      </c>
    </row>
    <row r="74">
      <c r="A74" t="n">
        <v>73</v>
      </c>
      <c r="B74" t="inlineStr">
        <is>
          <t>Whatnot</t>
        </is>
      </c>
      <c r="C74" t="inlineStr">
        <is>
          <t>2025 Panini The National VIP Memorabilia Gold Larry Bird PATCH /10 #15 CGC AUTH</t>
        </is>
      </c>
      <c r="D74" t="inlineStr">
        <is>
          <t>2026-03-01</t>
        </is>
      </c>
      <c r="E74" s="2" t="n">
        <v>78.7</v>
      </c>
      <c r="F74" t="inlineStr">
        <is>
          <t>2024 Panini National VIP Gold Larry Bird #15 Prizm Game Worn Patch /10 Celtics</t>
        </is>
      </c>
      <c r="G74" s="2" t="n">
        <v>150</v>
      </c>
      <c r="H74" t="n">
        <v>20</v>
      </c>
      <c r="I74" s="3" t="n"/>
      <c r="J74" s="2">
        <f>IF(I74&lt;&gt;"",I74,G74)</f>
        <v/>
      </c>
      <c r="K74" s="2">
        <f>E74-J74</f>
        <v/>
      </c>
      <c r="L74" s="4">
        <f>IF(J74&gt;0,K74/J74,"")</f>
        <v/>
      </c>
    </row>
    <row r="75">
      <c r="A75" t="n">
        <v>74</v>
      </c>
      <c r="B75" t="inlineStr">
        <is>
          <t>Whatnot</t>
        </is>
      </c>
      <c r="C75" t="inlineStr">
        <is>
          <t>2024 Panini Flawless Framework Emerald Isiah Thomas AUTO /5 #FRM-IST CGC AUTH</t>
        </is>
      </c>
      <c r="D75" t="inlineStr">
        <is>
          <t>2026-02-21</t>
        </is>
      </c>
      <c r="E75" s="2" t="n">
        <v>55.05</v>
      </c>
      <c r="F75" t="inlineStr">
        <is>
          <t>2024-25 Panini Flawless Isiah Thomas #FRM-IST Emerald Framework Auto Pistons /5</t>
        </is>
      </c>
      <c r="G75" s="2" t="n">
        <v>124.5</v>
      </c>
      <c r="H75" t="n">
        <v>30</v>
      </c>
      <c r="I75" s="3" t="n"/>
      <c r="J75" s="2">
        <f>IF(I75&lt;&gt;"",I75,G75)</f>
        <v/>
      </c>
      <c r="K75" s="2">
        <f>E75-J75</f>
        <v/>
      </c>
      <c r="L75" s="4">
        <f>IF(J75&gt;0,K75/J75,"")</f>
        <v/>
      </c>
    </row>
    <row r="76">
      <c r="A76" t="n">
        <v>75</v>
      </c>
      <c r="B76" t="inlineStr">
        <is>
          <t>Whatnot</t>
        </is>
      </c>
      <c r="C76" t="inlineStr">
        <is>
          <t>2024 Panini One And One Of A Kind Green Damian Lillard AUTO /5 #OK-LIL</t>
        </is>
      </c>
      <c r="D76" t="inlineStr">
        <is>
          <t>2026-02-21</t>
        </is>
      </c>
      <c r="E76" s="2" t="n">
        <v>88.14999999999999</v>
      </c>
      <c r="F76" t="inlineStr">
        <is>
          <t>DAMIAN LILLARD 2024-25 PANINI ONE AND ONE #9 ONE OF A KIND AUTO GREEN 3/5 BUCKS</t>
        </is>
      </c>
      <c r="G76" s="2" t="n">
        <v>153.5</v>
      </c>
      <c r="H76" t="n">
        <v>26</v>
      </c>
      <c r="I76" s="3" t="n"/>
      <c r="J76" s="2">
        <f>IF(I76&lt;&gt;"",I76,G76)</f>
        <v/>
      </c>
      <c r="K76" s="2">
        <f>E76-J76</f>
        <v/>
      </c>
      <c r="L76" s="4">
        <f>IF(J76&gt;0,K76/J76,"")</f>
        <v/>
      </c>
    </row>
    <row r="77">
      <c r="A77" t="n">
        <v>76</v>
      </c>
      <c r="B77" t="inlineStr">
        <is>
          <t>Whatnot</t>
        </is>
      </c>
      <c r="C77" t="inlineStr">
        <is>
          <t>2024 Panini Prizm Draft Picks Rated Prospect Purple Wave VJ Edgecombe ROOKIE #17 CGC AUTH</t>
        </is>
      </c>
      <c r="D77" t="inlineStr">
        <is>
          <t>2026-03-22</t>
        </is>
      </c>
      <c r="E77" s="2" t="n">
        <v>2.25</v>
      </c>
      <c r="F77" t="inlineStr">
        <is>
          <t>VJ EDGECOMBE 2024 PANINI PRIZM DRAFT PICKS - PURPLE WAVE PRIZM RATED PROSPECT 17</t>
        </is>
      </c>
      <c r="G77" s="2" t="n">
        <v>61</v>
      </c>
      <c r="H77" t="n">
        <v>36</v>
      </c>
      <c r="I77" s="3" t="n"/>
      <c r="J77" s="2">
        <f>IF(I77&lt;&gt;"",I77,G77)</f>
        <v/>
      </c>
      <c r="K77" s="2">
        <f>E77-J77</f>
        <v/>
      </c>
      <c r="L77" s="4">
        <f>IF(J77&gt;0,K77/J77,"")</f>
        <v/>
      </c>
    </row>
    <row r="78">
      <c r="A78" t="n">
        <v>77</v>
      </c>
      <c r="B78" t="inlineStr">
        <is>
          <t>Whatnot</t>
        </is>
      </c>
      <c r="C78" t="inlineStr">
        <is>
          <t>2024 Select Score Select Throwback Tie-Dye Victor Wembanyama /25 #2 CGC AUTH</t>
        </is>
      </c>
      <c r="D78" t="inlineStr">
        <is>
          <t>2026-03-01</t>
        </is>
      </c>
      <c r="E78" s="2" t="n">
        <v>142.125</v>
      </c>
      <c r="F78" t="inlineStr">
        <is>
          <t>2024-25 Panini Select - Select  Victor Wembanyama Score Tye Die  18/25</t>
        </is>
      </c>
      <c r="G78" s="2" t="n">
        <v>200</v>
      </c>
      <c r="H78" t="n">
        <v>28</v>
      </c>
      <c r="I78" s="3" t="n"/>
      <c r="J78" s="2">
        <f>IF(I78&lt;&gt;"",I78,G78)</f>
        <v/>
      </c>
      <c r="K78" s="2">
        <f>E78-J78</f>
        <v/>
      </c>
      <c r="L78" s="4">
        <f>IF(J78&gt;0,K78/J78,"")</f>
        <v/>
      </c>
    </row>
    <row r="79">
      <c r="A79" t="n">
        <v>78</v>
      </c>
      <c r="B79" t="inlineStr">
        <is>
          <t>Whatnot</t>
        </is>
      </c>
      <c r="C79" t="inlineStr">
        <is>
          <t>2025 Topps Chrome Youthquake Refractor Cooper Flagg ROOKIE #YQ-1 CGC AUTH</t>
        </is>
      </c>
      <c r="D79" t="inlineStr">
        <is>
          <t>2026-03-22</t>
        </is>
      </c>
      <c r="E79" s="2" t="n">
        <v>13.8</v>
      </c>
      <c r="F79" t="inlineStr">
        <is>
          <t>2025 Topps Chrome Cooper Flagg Youthquake Refractor #YQ-1 RC Mavericks</t>
        </is>
      </c>
      <c r="G79" s="2" t="n">
        <v>71</v>
      </c>
      <c r="H79" t="n">
        <v>30</v>
      </c>
      <c r="I79" s="3" t="n"/>
      <c r="J79" s="2">
        <f>IF(I79&lt;&gt;"",I79,G79)</f>
        <v/>
      </c>
      <c r="K79" s="2">
        <f>E79-J79</f>
        <v/>
      </c>
      <c r="L79" s="4">
        <f>IF(J79&gt;0,K79/J79,"")</f>
        <v/>
      </c>
    </row>
    <row r="80">
      <c r="A80" t="n">
        <v>79</v>
      </c>
      <c r="B80" t="inlineStr">
        <is>
          <t>Whatnot</t>
        </is>
      </c>
      <c r="C80" t="inlineStr">
        <is>
          <t>2024 Panini Mosaic Fast Break Gold Joel Embiid /10 #152 CGC AUTH</t>
        </is>
      </c>
      <c r="D80" t="inlineStr">
        <is>
          <t>2026-03-22</t>
        </is>
      </c>
      <c r="E80" s="2" t="n">
        <v>13.8</v>
      </c>
      <c r="F80" t="inlineStr">
        <is>
          <t>2024-25 Panini Mosaic Joel Embiid #152 Gold Prizm /10 Grade It 76ers 🔥ssp</t>
        </is>
      </c>
      <c r="G80" s="2" t="n">
        <v>70</v>
      </c>
      <c r="H80" t="n">
        <v>28</v>
      </c>
      <c r="I80" s="3" t="n"/>
      <c r="J80" s="2">
        <f>IF(I80&lt;&gt;"",I80,G80)</f>
        <v/>
      </c>
      <c r="K80" s="2">
        <f>E80-J80</f>
        <v/>
      </c>
      <c r="L80" s="4">
        <f>IF(J80&gt;0,K80/J80,"")</f>
        <v/>
      </c>
    </row>
    <row r="81">
      <c r="A81" t="n">
        <v>80</v>
      </c>
      <c r="B81" t="inlineStr">
        <is>
          <t>Whatnot</t>
        </is>
      </c>
      <c r="C81" t="inlineStr">
        <is>
          <t>2024 Donruss Optic Jared McCain ROOKIE AUTO #313 CGC AUTH</t>
        </is>
      </c>
      <c r="D81" t="inlineStr">
        <is>
          <t>2026-05-03</t>
        </is>
      </c>
      <c r="E81" s="2" t="n">
        <v>19.05</v>
      </c>
      <c r="F81" t="inlineStr">
        <is>
          <t>2024-25 Panini Donruss Optic Jared McCain #313 Rated Rookie RC Auto</t>
        </is>
      </c>
      <c r="G81" s="2" t="n">
        <v>73.31999999999999</v>
      </c>
      <c r="H81" t="n">
        <v>26</v>
      </c>
      <c r="I81" s="3" t="n"/>
      <c r="J81" s="2">
        <f>IF(I81&lt;&gt;"",I81,G81)</f>
        <v/>
      </c>
      <c r="K81" s="2">
        <f>E81-J81</f>
        <v/>
      </c>
      <c r="L81" s="4">
        <f>IF(J81&gt;0,K81/J81,"")</f>
        <v/>
      </c>
    </row>
    <row r="82">
      <c r="A82" t="n">
        <v>81</v>
      </c>
      <c r="B82" t="inlineStr">
        <is>
          <t>Whatnot</t>
        </is>
      </c>
      <c r="C82" t="inlineStr">
        <is>
          <t>2025 Topps Chrome Refractor Nikola Jokic #25 CGC AUTH</t>
        </is>
      </c>
      <c r="D82" t="inlineStr">
        <is>
          <t>2026-04-26</t>
        </is>
      </c>
      <c r="E82" s="2" t="n">
        <v>2.25</v>
      </c>
      <c r="F82" t="inlineStr">
        <is>
          <t>Nikola Jokic 2025-26 Topps Chrome Basketball Tall Tales Refractor Orange /25</t>
        </is>
      </c>
      <c r="G82" s="2" t="n">
        <v>54</v>
      </c>
      <c r="H82" t="n">
        <v>28</v>
      </c>
      <c r="I82" s="3" t="n"/>
      <c r="J82" s="2">
        <f>IF(I82&lt;&gt;"",I82,G82)</f>
        <v/>
      </c>
      <c r="K82" s="2">
        <f>E82-J82</f>
        <v/>
      </c>
      <c r="L82" s="4">
        <f>IF(J82&gt;0,K82/J82,"")</f>
        <v/>
      </c>
    </row>
    <row r="83">
      <c r="A83" t="n">
        <v>82</v>
      </c>
      <c r="B83" t="inlineStr">
        <is>
          <t>Whatnot</t>
        </is>
      </c>
      <c r="C83" t="inlineStr">
        <is>
          <t>2024 Panini The National VIP Diamond Gems Charles Barkley 1/1 #CB</t>
        </is>
      </c>
      <c r="D83" t="inlineStr">
        <is>
          <t>2026-02-21</t>
        </is>
      </c>
      <c r="E83" s="2" t="n">
        <v>177.375</v>
      </c>
      <c r="F83" t="inlineStr">
        <is>
          <t>1/10 ≈1/1 2023-24 Panini Flawless Performances Charles Barkley Gold Auto #FP-CBK</t>
        </is>
      </c>
      <c r="G83" s="2" t="n">
        <v>222.5</v>
      </c>
      <c r="H83" t="n">
        <v>16</v>
      </c>
      <c r="I83" s="3" t="n"/>
      <c r="J83" s="2">
        <f>IF(I83&lt;&gt;"",I83,G83)</f>
        <v/>
      </c>
      <c r="K83" s="2">
        <f>E83-J83</f>
        <v/>
      </c>
      <c r="L83" s="4">
        <f>IF(J83&gt;0,K83/J83,"")</f>
        <v/>
      </c>
    </row>
    <row r="84">
      <c r="A84" t="n">
        <v>83</v>
      </c>
      <c r="B84" t="inlineStr">
        <is>
          <t>Whatnot</t>
        </is>
      </c>
      <c r="C84" t="inlineStr">
        <is>
          <t>2023 Topps Merlin UEFA CC Yellow Shimmer Refractor Jude Bellingham /175 #105 CGC AUTH</t>
        </is>
      </c>
      <c r="D84" t="inlineStr">
        <is>
          <t>2026-03-22</t>
        </is>
      </c>
      <c r="E84" s="2" t="n">
        <v>4.350000000000001</v>
      </c>
      <c r="F84" t="inlineStr">
        <is>
          <t>2025-26 Topps Premier League Estevao Willian #105 RC Green Holo Foil /99</t>
        </is>
      </c>
      <c r="G84" s="2" t="n">
        <v>43.08</v>
      </c>
      <c r="H84" t="n">
        <v>12</v>
      </c>
      <c r="I84" s="3" t="n"/>
      <c r="J84" s="2">
        <f>IF(I84&lt;&gt;"",I84,G84)</f>
        <v/>
      </c>
      <c r="K84" s="2">
        <f>E84-J84</f>
        <v/>
      </c>
      <c r="L84" s="4">
        <f>IF(J84&gt;0,K84/J84,"")</f>
        <v/>
      </c>
    </row>
    <row r="85">
      <c r="A85" t="n">
        <v>84</v>
      </c>
      <c r="B85" t="inlineStr">
        <is>
          <t>Whatnot</t>
        </is>
      </c>
      <c r="C85" t="inlineStr">
        <is>
          <t>2024 Panini Obsidian Volcanix Luka Doncic #20 CGC AUTH</t>
        </is>
      </c>
      <c r="D85" t="inlineStr">
        <is>
          <t>2026-03-22</t>
        </is>
      </c>
      <c r="E85" s="2" t="n">
        <v>37.95</v>
      </c>
      <c r="F85" t="inlineStr">
        <is>
          <t>Luka Doncic 2024-25 Panini Obsidian Volcanix #20 SSP CASE HIT! Grade It🔥lakers</t>
        </is>
      </c>
      <c r="G85" s="2" t="n">
        <v>75</v>
      </c>
      <c r="H85" t="n">
        <v>28</v>
      </c>
      <c r="I85" s="3" t="n"/>
      <c r="J85" s="2">
        <f>IF(I85&lt;&gt;"",I85,G85)</f>
        <v/>
      </c>
      <c r="K85" s="2">
        <f>E85-J85</f>
        <v/>
      </c>
      <c r="L85" s="4">
        <f>IF(J85&gt;0,K85/J85,"")</f>
        <v/>
      </c>
    </row>
    <row r="86">
      <c r="A86" t="n">
        <v>85</v>
      </c>
      <c r="B86" t="inlineStr">
        <is>
          <t>Whatnot</t>
        </is>
      </c>
      <c r="C86" t="inlineStr">
        <is>
          <t>2025 Topps Chrome Xfractor VJ Edgecombe ROOKIE #253 CGC AUTH</t>
        </is>
      </c>
      <c r="D86" t="inlineStr">
        <is>
          <t>2026-03-22</t>
        </is>
      </c>
      <c r="E86" s="2" t="n">
        <v>20.1</v>
      </c>
      <c r="F86" t="inlineStr">
        <is>
          <t>2025-26 Topps Chrome VJ Edgecombe #253 RC Rookie Refractor -M8</t>
        </is>
      </c>
      <c r="G86" s="2" t="n">
        <v>55.9</v>
      </c>
      <c r="H86" t="n">
        <v>24</v>
      </c>
      <c r="I86" s="3" t="n"/>
      <c r="J86" s="2">
        <f>IF(I86&lt;&gt;"",I86,G86)</f>
        <v/>
      </c>
      <c r="K86" s="2">
        <f>E86-J86</f>
        <v/>
      </c>
      <c r="L86" s="4">
        <f>IF(J86&gt;0,K86/J86,"")</f>
        <v/>
      </c>
    </row>
    <row r="87">
      <c r="A87" t="n">
        <v>86</v>
      </c>
      <c r="B87" t="inlineStr">
        <is>
          <t>Whatnot</t>
        </is>
      </c>
      <c r="C87" t="inlineStr">
        <is>
          <t>2024 Immaculate Collection Pink Chet Holmgren 15/15 #20 CGC AUTH</t>
        </is>
      </c>
      <c r="D87" t="inlineStr">
        <is>
          <t>2026-04-12</t>
        </is>
      </c>
      <c r="E87" s="2" t="n">
        <v>12.75</v>
      </c>
      <c r="F87" t="inlineStr">
        <is>
          <t>Chet Holmgren 2024-25 Panini Immaculate Collection Red 15/15 #20</t>
        </is>
      </c>
      <c r="G87" s="2" t="n">
        <v>46</v>
      </c>
      <c r="H87" t="n">
        <v>26</v>
      </c>
      <c r="I87" s="3" t="n"/>
      <c r="J87" s="2">
        <f>IF(I87&lt;&gt;"",I87,G87)</f>
        <v/>
      </c>
      <c r="K87" s="2">
        <f>E87-J87</f>
        <v/>
      </c>
      <c r="L87" s="4">
        <f>IF(J87&gt;0,K87/J87,"")</f>
        <v/>
      </c>
    </row>
    <row r="88">
      <c r="A88" t="n">
        <v>87</v>
      </c>
      <c r="B88" t="inlineStr">
        <is>
          <t>Whatnot</t>
        </is>
      </c>
      <c r="C88" t="inlineStr">
        <is>
          <t>2025 Topps Chrome Style Black Geometric Refractor Bogdan Bogdanovic AUTO /10 #SS-BOG CGC AUTH</t>
        </is>
      </c>
      <c r="D88" t="inlineStr">
        <is>
          <t>2026-03-22</t>
        </is>
      </c>
      <c r="E88" s="2" t="n">
        <v>3.300000000000001</v>
      </c>
      <c r="F88" t="inlineStr">
        <is>
          <t>2025-26 Topps Chrome Bogdan Bogdanovic Signature Style Auto Black Geometric /10</t>
        </is>
      </c>
      <c r="G88" s="2" t="n">
        <v>35.9</v>
      </c>
      <c r="H88" t="n">
        <v>27</v>
      </c>
      <c r="I88" s="3" t="n"/>
      <c r="J88" s="2">
        <f>IF(I88&lt;&gt;"",I88,G88)</f>
        <v/>
      </c>
      <c r="K88" s="2">
        <f>E88-J88</f>
        <v/>
      </c>
      <c r="L88" s="4">
        <f>IF(J88&gt;0,K88/J88,"")</f>
        <v/>
      </c>
    </row>
    <row r="89">
      <c r="A89" t="n">
        <v>88</v>
      </c>
      <c r="B89" t="inlineStr">
        <is>
          <t>Whatnot</t>
        </is>
      </c>
      <c r="C89" t="inlineStr">
        <is>
          <t>2025 Topps Chrome Xfractor VJ Edgecombe ROOKIE #253 CGC AUTH</t>
        </is>
      </c>
      <c r="D89" t="inlineStr">
        <is>
          <t>2026-03-29</t>
        </is>
      </c>
      <c r="E89" s="2" t="n">
        <v>25.35</v>
      </c>
      <c r="F89" t="inlineStr">
        <is>
          <t>2025-26 Topps Chrome VJ Edgecombe #253 RC Rookie Refractor -M8</t>
        </is>
      </c>
      <c r="G89" s="2" t="n">
        <v>55.9</v>
      </c>
      <c r="H89" t="n">
        <v>24</v>
      </c>
      <c r="I89" s="3" t="n"/>
      <c r="J89" s="2">
        <f>IF(I89&lt;&gt;"",I89,G89)</f>
        <v/>
      </c>
      <c r="K89" s="2">
        <f>E89-J89</f>
        <v/>
      </c>
      <c r="L89" s="4">
        <f>IF(J89&gt;0,K89/J89,"")</f>
        <v/>
      </c>
    </row>
    <row r="90">
      <c r="A90" t="n">
        <v>89</v>
      </c>
      <c r="B90" t="inlineStr">
        <is>
          <t>Whatnot</t>
        </is>
      </c>
      <c r="C90" t="inlineStr">
        <is>
          <t>2019 Panini Flawless Collegiate Gold Tyler Herro ROOKIE PATCH 10/10 #24 CGC AUTH</t>
        </is>
      </c>
      <c r="D90" t="inlineStr">
        <is>
          <t>2026-04-26</t>
        </is>
      </c>
      <c r="E90" s="2" t="n">
        <v>26.4</v>
      </c>
      <c r="F90" t="inlineStr">
        <is>
          <t>2024-25 Panini Flawless Tyler Herro Patches #3/25 Heat</t>
        </is>
      </c>
      <c r="G90" s="2" t="n">
        <v>56</v>
      </c>
      <c r="H90" t="n">
        <v>21</v>
      </c>
      <c r="I90" s="3" t="n"/>
      <c r="J90" s="2">
        <f>IF(I90&lt;&gt;"",I90,G90)</f>
        <v/>
      </c>
      <c r="K90" s="2">
        <f>E90-J90</f>
        <v/>
      </c>
      <c r="L90" s="4">
        <f>IF(J90&gt;0,K90/J90,"")</f>
        <v/>
      </c>
    </row>
    <row r="91">
      <c r="A91" t="n">
        <v>90</v>
      </c>
      <c r="B91" t="inlineStr">
        <is>
          <t>Whatnot</t>
        </is>
      </c>
      <c r="C91" t="inlineStr">
        <is>
          <t>2025 Panini The National VIP Red Cracked Ice Aaron Judge /99 #43 CGC AUTH</t>
        </is>
      </c>
      <c r="D91" t="inlineStr">
        <is>
          <t>2026-03-22</t>
        </is>
      </c>
      <c r="E91" s="2" t="n">
        <v>10.65</v>
      </c>
      <c r="F91" t="inlineStr">
        <is>
          <t>2025 Panini National VIP Gold Pack Aaron Judge Red Ice /99 Yankees #43</t>
        </is>
      </c>
      <c r="G91" s="2" t="n">
        <v>40</v>
      </c>
      <c r="H91" t="n">
        <v>27</v>
      </c>
      <c r="I91" s="3" t="n"/>
      <c r="J91" s="2">
        <f>IF(I91&lt;&gt;"",I91,G91)</f>
        <v/>
      </c>
      <c r="K91" s="2">
        <f>E91-J91</f>
        <v/>
      </c>
      <c r="L91" s="4">
        <f>IF(J91&gt;0,K91/J91,"")</f>
        <v/>
      </c>
    </row>
    <row r="92">
      <c r="A92" t="n">
        <v>91</v>
      </c>
      <c r="B92" t="inlineStr">
        <is>
          <t>Whatnot</t>
        </is>
      </c>
      <c r="C92" t="inlineStr">
        <is>
          <t>2025 Panini The National VIP Red Cracked Ice Aaron Judge /99 #43 CGC AUTH</t>
        </is>
      </c>
      <c r="D92" t="inlineStr">
        <is>
          <t>2026-03-22</t>
        </is>
      </c>
      <c r="E92" s="2" t="n">
        <v>10.65</v>
      </c>
      <c r="F92" t="inlineStr">
        <is>
          <t>2025 Panini National VIP Gold Pack Aaron Judge Red Ice /99 Yankees #43</t>
        </is>
      </c>
      <c r="G92" s="2" t="n">
        <v>40</v>
      </c>
      <c r="H92" t="n">
        <v>27</v>
      </c>
      <c r="I92" s="3" t="n"/>
      <c r="J92" s="2">
        <f>IF(I92&lt;&gt;"",I92,G92)</f>
        <v/>
      </c>
      <c r="K92" s="2">
        <f>E92-J92</f>
        <v/>
      </c>
      <c r="L92" s="4">
        <f>IF(J92&gt;0,K92/J92,"")</f>
        <v/>
      </c>
    </row>
    <row r="93">
      <c r="A93" t="n">
        <v>92</v>
      </c>
      <c r="B93" t="inlineStr">
        <is>
          <t>Whatnot</t>
        </is>
      </c>
      <c r="C93" t="inlineStr">
        <is>
          <t>2024 Panini Photogenic Diamond Matas Buzelis ROOKIE AUTO 1/75 #RA-BUZ CGC AUTH</t>
        </is>
      </c>
      <c r="D93" t="inlineStr">
        <is>
          <t>2026-03-22</t>
        </is>
      </c>
      <c r="E93" s="2" t="n">
        <v>59.34999999999999</v>
      </c>
      <c r="F93" t="inlineStr">
        <is>
          <t>1/75 ≈1/1 ! 2024-25 Panini Photogenic Matas Buzelis Cracked Ice Rookie RC Auto</t>
        </is>
      </c>
      <c r="G93" s="2" t="n">
        <v>88</v>
      </c>
      <c r="H93" t="n">
        <v>18</v>
      </c>
      <c r="I93" s="3" t="n"/>
      <c r="J93" s="2">
        <f>IF(I93&lt;&gt;"",I93,G93)</f>
        <v/>
      </c>
      <c r="K93" s="2">
        <f>E93-J93</f>
        <v/>
      </c>
      <c r="L93" s="4">
        <f>IF(J93&gt;0,K93/J93,"")</f>
        <v/>
      </c>
    </row>
    <row r="94">
      <c r="A94" t="n">
        <v>93</v>
      </c>
      <c r="B94" t="inlineStr">
        <is>
          <t>Whatnot</t>
        </is>
      </c>
      <c r="C94" t="inlineStr">
        <is>
          <t>2024 Donruss Optic Choice Blue Cade Cunningham /24 #26 CGC AUTH</t>
        </is>
      </c>
      <c r="D94" t="inlineStr">
        <is>
          <t>2026-04-26</t>
        </is>
      </c>
      <c r="E94" s="2" t="n">
        <v>7.5</v>
      </c>
      <c r="F94" t="inlineStr">
        <is>
          <t>2024-25 Donruss Optic Choice Cade Cunningham #26 Blue Mojo Prizm /24 Grade It🔥</t>
        </is>
      </c>
      <c r="G94" s="2" t="n">
        <v>35</v>
      </c>
      <c r="H94" t="n">
        <v>30</v>
      </c>
      <c r="I94" s="3" t="n"/>
      <c r="J94" s="2">
        <f>IF(I94&lt;&gt;"",I94,G94)</f>
        <v/>
      </c>
      <c r="K94" s="2">
        <f>E94-J94</f>
        <v/>
      </c>
      <c r="L94" s="4">
        <f>IF(J94&gt;0,K94/J94,"")</f>
        <v/>
      </c>
    </row>
    <row r="95">
      <c r="A95" t="n">
        <v>94</v>
      </c>
      <c r="B95" t="inlineStr">
        <is>
          <t>Whatnot</t>
        </is>
      </c>
      <c r="C95" t="inlineStr">
        <is>
          <t>2022 Panini Prizm Silver Alperen Sengun AUTO #SIG-ALP CGC AUTH</t>
        </is>
      </c>
      <c r="D95" t="inlineStr">
        <is>
          <t>2026-04-26</t>
        </is>
      </c>
      <c r="E95" s="2" t="n">
        <v>15.9</v>
      </c>
      <c r="F95" t="inlineStr">
        <is>
          <t>2022-23 Panini Prizm Alperen Sengun Signatures Auto Silver</t>
        </is>
      </c>
      <c r="G95" s="2" t="n">
        <v>41.99</v>
      </c>
      <c r="H95" t="n">
        <v>23</v>
      </c>
      <c r="I95" s="3" t="n"/>
      <c r="J95" s="2">
        <f>IF(I95&lt;&gt;"",I95,G95)</f>
        <v/>
      </c>
      <c r="K95" s="2">
        <f>E95-J95</f>
        <v/>
      </c>
      <c r="L95" s="4">
        <f>IF(J95&gt;0,K95/J95,"")</f>
        <v/>
      </c>
    </row>
    <row r="96">
      <c r="A96" t="n">
        <v>95</v>
      </c>
      <c r="B96" t="inlineStr">
        <is>
          <t>Whatnot</t>
        </is>
      </c>
      <c r="C96" t="inlineStr">
        <is>
          <t>2024 Select Concourse Blue Scope LeBron James /249 #54 CGC AUTH</t>
        </is>
      </c>
      <c r="D96" t="inlineStr">
        <is>
          <t>2026-03-22</t>
        </is>
      </c>
      <c r="E96" s="2" t="n">
        <v>6.450000000000001</v>
      </c>
      <c r="F96" t="inlineStr">
        <is>
          <t>2024-25 Panini Select Concourse LeBron James #54Blue Scope Prizm /249 Grade It🔥</t>
        </is>
      </c>
      <c r="G96" s="2" t="n">
        <v>30</v>
      </c>
      <c r="H96" t="n">
        <v>30</v>
      </c>
      <c r="I96" s="3" t="n"/>
      <c r="J96" s="2">
        <f>IF(I96&lt;&gt;"",I96,G96)</f>
        <v/>
      </c>
      <c r="K96" s="2">
        <f>E96-J96</f>
        <v/>
      </c>
      <c r="L96" s="4">
        <f>IF(J96&gt;0,K96/J96,"")</f>
        <v/>
      </c>
    </row>
    <row r="97">
      <c r="A97" t="n">
        <v>96</v>
      </c>
      <c r="B97" t="inlineStr">
        <is>
          <t>Whatnot</t>
        </is>
      </c>
      <c r="C97" t="inlineStr">
        <is>
          <t>2012 Panini Signatures Red Yao Ming AUTO /10 #200 CGC AUTH</t>
        </is>
      </c>
      <c r="D97" t="inlineStr">
        <is>
          <t>2026-02-21</t>
        </is>
      </c>
      <c r="E97" s="2" t="n">
        <v>109.89</v>
      </c>
      <c r="F97" t="inlineStr">
        <is>
          <t>2012-13 Panini Signatures Legend Yao Ming Silver Auto /10 Rockets #200 SP</t>
        </is>
      </c>
      <c r="G97" s="2" t="n">
        <v>132.5</v>
      </c>
      <c r="H97" t="n">
        <v>23</v>
      </c>
      <c r="I97" s="3" t="n"/>
      <c r="J97" s="2">
        <f>IF(I97&lt;&gt;"",I97,G97)</f>
        <v/>
      </c>
      <c r="K97" s="2">
        <f>E97-J97</f>
        <v/>
      </c>
      <c r="L97" s="4">
        <f>IF(J97&gt;0,K97/J97,"")</f>
        <v/>
      </c>
    </row>
    <row r="98">
      <c r="A98" t="n">
        <v>97</v>
      </c>
      <c r="B98" t="inlineStr">
        <is>
          <t>Whatnot</t>
        </is>
      </c>
      <c r="C98" t="inlineStr">
        <is>
          <t>2025 Topps Chrome '80-81 Silver Pack Orange Will Riley ROOKIE AUTO /25 #80CR2-WR CGC AUTH</t>
        </is>
      </c>
      <c r="D98" t="inlineStr">
        <is>
          <t>2026-03-22</t>
        </is>
      </c>
      <c r="E98" s="2" t="n">
        <v>100.2</v>
      </c>
      <c r="F98" t="inlineStr">
        <is>
          <t>Will Riley 2025 Topps Chrome #80CR2-WR Orange Mojo Refractor Rookie Auto RC /25</t>
        </is>
      </c>
      <c r="G98" s="2" t="n">
        <v>122.5</v>
      </c>
      <c r="H98" t="n">
        <v>28</v>
      </c>
      <c r="I98" s="3" t="n"/>
      <c r="J98" s="2">
        <f>IF(I98&lt;&gt;"",I98,G98)</f>
        <v/>
      </c>
      <c r="K98" s="2">
        <f>E98-J98</f>
        <v/>
      </c>
      <c r="L98" s="4">
        <f>IF(J98&gt;0,K98/J98,"")</f>
        <v/>
      </c>
    </row>
    <row r="99">
      <c r="A99" t="n">
        <v>98</v>
      </c>
      <c r="B99" t="inlineStr">
        <is>
          <t>Whatnot</t>
        </is>
      </c>
      <c r="C99" t="inlineStr">
        <is>
          <t>2025 Topps Chrome Xfractor VJ Edgecombe ROOKIE #253 CGC AUTH</t>
        </is>
      </c>
      <c r="D99" t="inlineStr">
        <is>
          <t>2026-04-05</t>
        </is>
      </c>
      <c r="E99" s="2" t="n">
        <v>35.85</v>
      </c>
      <c r="F99" t="inlineStr">
        <is>
          <t>2025-26 Topps Chrome VJ Edgecombe #253 RC Rookie Refractor -M8</t>
        </is>
      </c>
      <c r="G99" s="2" t="n">
        <v>55.9</v>
      </c>
      <c r="H99" t="n">
        <v>24</v>
      </c>
      <c r="I99" s="3" t="n"/>
      <c r="J99" s="2">
        <f>IF(I99&lt;&gt;"",I99,G99)</f>
        <v/>
      </c>
      <c r="K99" s="2">
        <f>E99-J99</f>
        <v/>
      </c>
      <c r="L99" s="4">
        <f>IF(J99&gt;0,K99/J99,"")</f>
        <v/>
      </c>
    </row>
    <row r="100">
      <c r="A100" t="n">
        <v>99</v>
      </c>
      <c r="B100" t="inlineStr">
        <is>
          <t>Whatnot</t>
        </is>
      </c>
      <c r="C100" t="inlineStr">
        <is>
          <t>2025 Panini The National VIP Blue Cracked Ice Aaron Judge /75 #43 CGC AUTH</t>
        </is>
      </c>
      <c r="D100" t="inlineStr">
        <is>
          <t>2026-03-22</t>
        </is>
      </c>
      <c r="E100" s="2" t="n">
        <v>15.9</v>
      </c>
      <c r="F100" t="inlineStr">
        <is>
          <t>2025 Panini The National VIP Gold Pack #43 Aaron Judge BLUE ICE /75</t>
        </is>
      </c>
      <c r="G100" s="2" t="n">
        <v>34.99</v>
      </c>
      <c r="H100" t="n">
        <v>29</v>
      </c>
      <c r="I100" s="3" t="n"/>
      <c r="J100" s="2">
        <f>IF(I100&lt;&gt;"",I100,G100)</f>
        <v/>
      </c>
      <c r="K100" s="2">
        <f>E100-J100</f>
        <v/>
      </c>
      <c r="L100" s="4">
        <f>IF(J100&gt;0,K100/J100,"")</f>
        <v/>
      </c>
    </row>
    <row r="101">
      <c r="A101" t="n">
        <v>100</v>
      </c>
      <c r="B101" t="inlineStr">
        <is>
          <t>Whatnot</t>
        </is>
      </c>
      <c r="C101" t="inlineStr">
        <is>
          <t>2014 Topps Tribute Pastime Orange Ben Zobrist AUTO /40 #TPT-BZ CGC AUTH</t>
        </is>
      </c>
      <c r="D101" t="inlineStr">
        <is>
          <t>2026-03-22</t>
        </is>
      </c>
      <c r="E101" s="2" t="n">
        <v>2.25</v>
      </c>
      <c r="F101" t="inlineStr">
        <is>
          <t>2014 TOPPS TRIBUTE #TPT-BZ BEN ZOBRIST TO THE PASTIME AUTO ORANGE /40</t>
        </is>
      </c>
      <c r="G101" s="2" t="n">
        <v>20.5</v>
      </c>
      <c r="H101" t="n">
        <v>27</v>
      </c>
      <c r="I101" s="3" t="n"/>
      <c r="J101" s="2">
        <f>IF(I101&lt;&gt;"",I101,G101)</f>
        <v/>
      </c>
      <c r="K101" s="2">
        <f>E101-J101</f>
        <v/>
      </c>
      <c r="L101" s="4">
        <f>IF(J101&gt;0,K101/J101,"")</f>
        <v/>
      </c>
    </row>
    <row r="102">
      <c r="A102" t="n">
        <v>101</v>
      </c>
      <c r="B102" t="inlineStr">
        <is>
          <t>Whatnot</t>
        </is>
      </c>
      <c r="C102" t="inlineStr">
        <is>
          <t>2025 Topps Chrome Xfractor VJ Edgecombe ROOKIE #253 CGC AUTH</t>
        </is>
      </c>
      <c r="D102" t="inlineStr">
        <is>
          <t>2026-04-05</t>
        </is>
      </c>
      <c r="E102" s="2" t="n">
        <v>39</v>
      </c>
      <c r="F102" t="inlineStr">
        <is>
          <t>2025-26 Topps Chrome VJ Edgecombe #253 RC Rookie Refractor -M8</t>
        </is>
      </c>
      <c r="G102" s="2" t="n">
        <v>55.9</v>
      </c>
      <c r="H102" t="n">
        <v>24</v>
      </c>
      <c r="I102" s="3" t="n"/>
      <c r="J102" s="2">
        <f>IF(I102&lt;&gt;"",I102,G102)</f>
        <v/>
      </c>
      <c r="K102" s="2">
        <f>E102-J102</f>
        <v/>
      </c>
      <c r="L102" s="4">
        <f>IF(J102&gt;0,K102/J102,"")</f>
        <v/>
      </c>
    </row>
    <row r="103">
      <c r="A103" t="n">
        <v>102</v>
      </c>
      <c r="B103" t="inlineStr">
        <is>
          <t>Whatnot</t>
        </is>
      </c>
      <c r="C103" t="inlineStr">
        <is>
          <t>2025 Panini The National VIP Blue Cracked Ice Aaron Judge /75 #43 CGC AUTH</t>
        </is>
      </c>
      <c r="D103" t="inlineStr">
        <is>
          <t>2026-03-29</t>
        </is>
      </c>
      <c r="E103" s="2" t="n">
        <v>18.9</v>
      </c>
      <c r="F103" t="inlineStr">
        <is>
          <t>2025 Panini The National VIP Gold Pack #43 Aaron Judge BLUE ICE /75</t>
        </is>
      </c>
      <c r="G103" s="2" t="n">
        <v>34.99</v>
      </c>
      <c r="H103" t="n">
        <v>29</v>
      </c>
      <c r="I103" s="3" t="n"/>
      <c r="J103" s="2">
        <f>IF(I103&lt;&gt;"",I103,G103)</f>
        <v/>
      </c>
      <c r="K103" s="2">
        <f>E103-J103</f>
        <v/>
      </c>
      <c r="L103" s="4">
        <f>IF(J103&gt;0,K103/J103,"")</f>
        <v/>
      </c>
    </row>
    <row r="104">
      <c r="A104" t="n">
        <v>103</v>
      </c>
      <c r="B104" t="inlineStr">
        <is>
          <t>Whatnot</t>
        </is>
      </c>
      <c r="C104" t="inlineStr">
        <is>
          <t>2025 Panini The National VIP Hello Cracked Ice Aaron Judge /45 #43 CGC AUTH</t>
        </is>
      </c>
      <c r="D104" t="inlineStr">
        <is>
          <t>2026-03-29</t>
        </is>
      </c>
      <c r="E104" s="2" t="n">
        <v>19.05</v>
      </c>
      <c r="F104" t="inlineStr">
        <is>
          <t>2025 Panini The National VIP Gold Pack #43 Aaron Judge BLUE ICE /75</t>
        </is>
      </c>
      <c r="G104" s="2" t="n">
        <v>34.99</v>
      </c>
      <c r="H104" t="n">
        <v>27</v>
      </c>
      <c r="I104" s="3" t="n"/>
      <c r="J104" s="2">
        <f>IF(I104&lt;&gt;"",I104,G104)</f>
        <v/>
      </c>
      <c r="K104" s="2">
        <f>E104-J104</f>
        <v/>
      </c>
      <c r="L104" s="4">
        <f>IF(J104&gt;0,K104/J104,"")</f>
        <v/>
      </c>
    </row>
    <row r="105">
      <c r="A105" t="n">
        <v>104</v>
      </c>
      <c r="B105" t="inlineStr">
        <is>
          <t>Whatnot</t>
        </is>
      </c>
      <c r="C105" t="inlineStr">
        <is>
          <t>2025 Panini The National VIP Hello Cracked Ice Aaron Judge /45 #43 CGC AUTH</t>
        </is>
      </c>
      <c r="D105" t="inlineStr">
        <is>
          <t>2026-03-29</t>
        </is>
      </c>
      <c r="E105" s="2" t="n">
        <v>19.05</v>
      </c>
      <c r="F105" t="inlineStr">
        <is>
          <t>2025 Panini The National VIP Gold Pack #43 Aaron Judge BLUE ICE /75</t>
        </is>
      </c>
      <c r="G105" s="2" t="n">
        <v>34.99</v>
      </c>
      <c r="H105" t="n">
        <v>27</v>
      </c>
      <c r="I105" s="3" t="n"/>
      <c r="J105" s="2">
        <f>IF(I105&lt;&gt;"",I105,G105)</f>
        <v/>
      </c>
      <c r="K105" s="2">
        <f>E105-J105</f>
        <v/>
      </c>
      <c r="L105" s="4">
        <f>IF(J105&gt;0,K105/J105,"")</f>
        <v/>
      </c>
    </row>
    <row r="106">
      <c r="A106" t="n">
        <v>105</v>
      </c>
      <c r="B106" t="inlineStr">
        <is>
          <t>Whatnot</t>
        </is>
      </c>
      <c r="C106" t="inlineStr">
        <is>
          <t>2025 Topps Chrome Gold Wave Refractor Chet Holmgren /50 #134 CGC AUTH</t>
        </is>
      </c>
      <c r="D106" t="inlineStr">
        <is>
          <t>2026-04-12</t>
        </is>
      </c>
      <c r="E106" s="2" t="n">
        <v>7.5</v>
      </c>
      <c r="F106" t="inlineStr">
        <is>
          <t>2025-26 Topps Chrome Chet Holmgren #134 Refractors Gold Wave /150</t>
        </is>
      </c>
      <c r="G106" s="2" t="n">
        <v>23.4</v>
      </c>
      <c r="H106" t="n">
        <v>32</v>
      </c>
      <c r="I106" s="3" t="n"/>
      <c r="J106" s="2">
        <f>IF(I106&lt;&gt;"",I106,G106)</f>
        <v/>
      </c>
      <c r="K106" s="2">
        <f>E106-J106</f>
        <v/>
      </c>
      <c r="L106" s="4">
        <f>IF(J106&gt;0,K106/J106,"")</f>
        <v/>
      </c>
    </row>
    <row r="107">
      <c r="A107" t="n">
        <v>106</v>
      </c>
      <c r="B107" t="inlineStr">
        <is>
          <t>Whatnot</t>
        </is>
      </c>
      <c r="C107" t="inlineStr">
        <is>
          <t>2024 Donruss Optic Splash! Lime Green LeBron James /199 #5 CGC AUTH</t>
        </is>
      </c>
      <c r="D107" t="inlineStr">
        <is>
          <t>2026-03-22</t>
        </is>
      </c>
      <c r="E107" s="2" t="n">
        <v>12.75</v>
      </c>
      <c r="F107" t="inlineStr">
        <is>
          <t>2024-25 Donruss Optic LeBron James Splash #5 Green Prizm /199 Grade It Lakers🔥</t>
        </is>
      </c>
      <c r="G107" s="2" t="n">
        <v>26</v>
      </c>
      <c r="H107" t="n">
        <v>30</v>
      </c>
      <c r="I107" s="3" t="n"/>
      <c r="J107" s="2">
        <f>IF(I107&lt;&gt;"",I107,G107)</f>
        <v/>
      </c>
      <c r="K107" s="2">
        <f>E107-J107</f>
        <v/>
      </c>
      <c r="L107" s="4">
        <f>IF(J107&gt;0,K107/J107,"")</f>
        <v/>
      </c>
    </row>
    <row r="108">
      <c r="A108" t="n">
        <v>107</v>
      </c>
      <c r="B108" t="inlineStr">
        <is>
          <t>Whatnot</t>
        </is>
      </c>
      <c r="C108" t="inlineStr">
        <is>
          <t>2024 Panini Photogenic In Motion Groovy Jared McCain ROOKIE /35 #2 CGC AUTH</t>
        </is>
      </c>
      <c r="D108" t="inlineStr">
        <is>
          <t>2026-04-26</t>
        </is>
      </c>
      <c r="E108" s="2" t="n">
        <v>6.450000000000001</v>
      </c>
      <c r="F108" t="inlineStr">
        <is>
          <t>2024-25 Panini Photogenic Jared Mccain #2 Groovy RC Rookies In Motion 76ers /35</t>
        </is>
      </c>
      <c r="G108" s="2" t="n">
        <v>19.51</v>
      </c>
      <c r="H108" t="n">
        <v>27</v>
      </c>
      <c r="I108" s="3" t="n"/>
      <c r="J108" s="2">
        <f>IF(I108&lt;&gt;"",I108,G108)</f>
        <v/>
      </c>
      <c r="K108" s="2">
        <f>E108-J108</f>
        <v/>
      </c>
      <c r="L108" s="4">
        <f>IF(J108&gt;0,K108/J108,"")</f>
        <v/>
      </c>
    </row>
    <row r="109">
      <c r="A109" t="n">
        <v>108</v>
      </c>
      <c r="B109" t="inlineStr">
        <is>
          <t>Whatnot</t>
        </is>
      </c>
      <c r="C109" t="inlineStr">
        <is>
          <t>2024 Panini One And One Orange Bronny James Jr. ROOKIE /49 #108</t>
        </is>
      </c>
      <c r="D109" t="inlineStr">
        <is>
          <t>2026-02-21</t>
        </is>
      </c>
      <c r="E109" s="2" t="n">
        <v>19.95</v>
      </c>
      <c r="F109" t="inlineStr">
        <is>
          <t>2024-25 Panini One And One Bronny James Jr. #108 Orange RC Rookie Lakers /49</t>
        </is>
      </c>
      <c r="G109" s="2" t="n">
        <v>31</v>
      </c>
      <c r="H109" t="n">
        <v>29</v>
      </c>
      <c r="I109" s="3" t="n"/>
      <c r="J109" s="2">
        <f>IF(I109&lt;&gt;"",I109,G109)</f>
        <v/>
      </c>
      <c r="K109" s="2">
        <f>E109-J109</f>
        <v/>
      </c>
      <c r="L109" s="4">
        <f>IF(J109&gt;0,K109/J109,"")</f>
        <v/>
      </c>
    </row>
    <row r="110">
      <c r="A110" t="n">
        <v>109</v>
      </c>
      <c r="B110" t="inlineStr">
        <is>
          <t>Whatnot</t>
        </is>
      </c>
      <c r="C110" t="inlineStr">
        <is>
          <t>2024 Panini Prizm Black Blue Shimmer FOTL Yao Ming /35 #264 CGC AUTH</t>
        </is>
      </c>
      <c r="D110" t="inlineStr">
        <is>
          <t>2026-03-29</t>
        </is>
      </c>
      <c r="E110" s="2" t="n">
        <v>10.65</v>
      </c>
      <c r="F110" t="inlineStr">
        <is>
          <t>YAO MING 2024 Prizm Black Legends #264 Rockets Blue Shimmer FOTL /35</t>
        </is>
      </c>
      <c r="G110" s="2" t="n">
        <v>20</v>
      </c>
      <c r="H110" t="n">
        <v>30</v>
      </c>
      <c r="I110" s="3" t="n"/>
      <c r="J110" s="2">
        <f>IF(I110&lt;&gt;"",I110,G110)</f>
        <v/>
      </c>
      <c r="K110" s="2">
        <f>E110-J110</f>
        <v/>
      </c>
      <c r="L110" s="4">
        <f>IF(J110&gt;0,K110/J110,"")</f>
        <v/>
      </c>
    </row>
    <row r="111">
      <c r="A111" t="n">
        <v>110</v>
      </c>
      <c r="B111" t="inlineStr">
        <is>
          <t>Whatnot</t>
        </is>
      </c>
      <c r="C111" t="inlineStr">
        <is>
          <t>2021 Panini Revolution Impact Alperen Sengun ROOKIE /149 #149 CGC AUTH</t>
        </is>
      </c>
      <c r="D111" t="inlineStr">
        <is>
          <t>2026-03-22</t>
        </is>
      </c>
      <c r="E111" s="2" t="n">
        <v>9.600000000000001</v>
      </c>
      <c r="F111" t="inlineStr">
        <is>
          <t>2021-22 Panini Revolution Alperen Sengun RC Impact Rookie #129/149 Rockets</t>
        </is>
      </c>
      <c r="G111" s="2" t="n">
        <v>18.5</v>
      </c>
      <c r="H111" t="n">
        <v>25</v>
      </c>
      <c r="I111" s="3" t="n"/>
      <c r="J111" s="2">
        <f>IF(I111&lt;&gt;"",I111,G111)</f>
        <v/>
      </c>
      <c r="K111" s="2">
        <f>E111-J111</f>
        <v/>
      </c>
      <c r="L111" s="4">
        <f>IF(J111&gt;0,K111/J111,"")</f>
        <v/>
      </c>
    </row>
    <row r="112">
      <c r="A112" t="n">
        <v>111</v>
      </c>
      <c r="B112" t="inlineStr">
        <is>
          <t>Whatnot</t>
        </is>
      </c>
      <c r="C112" t="inlineStr">
        <is>
          <t>2023 Panini Illusions Trophy Collection Red Dallas Goedert AUTO /99 #86 CGC AUTH</t>
        </is>
      </c>
      <c r="D112" t="inlineStr">
        <is>
          <t>2026-03-22</t>
        </is>
      </c>
      <c r="E112" s="2" t="n">
        <v>3.300000000000001</v>
      </c>
      <c r="F112" t="inlineStr">
        <is>
          <t>2023 Panini Illusions - Dallas Goedert #86 Red /99 Auto</t>
        </is>
      </c>
      <c r="G112" s="2" t="n">
        <v>11.5</v>
      </c>
      <c r="H112" t="n">
        <v>25</v>
      </c>
      <c r="I112" s="3" t="n"/>
      <c r="J112" s="2">
        <f>IF(I112&lt;&gt;"",I112,G112)</f>
        <v/>
      </c>
      <c r="K112" s="2">
        <f>E112-J112</f>
        <v/>
      </c>
      <c r="L112" s="4">
        <f>IF(J112&gt;0,K112/J112,"")</f>
        <v/>
      </c>
    </row>
    <row r="113">
      <c r="A113" t="n">
        <v>112</v>
      </c>
      <c r="B113" t="inlineStr">
        <is>
          <t>Whatnot</t>
        </is>
      </c>
      <c r="C113" t="inlineStr">
        <is>
          <t>2021 National Treasures Evan Mobley ROOKIE PATCH AUTO /99 #RMD-EVM CGC AUTH</t>
        </is>
      </c>
      <c r="D113" t="inlineStr">
        <is>
          <t>2026-02-21</t>
        </is>
      </c>
      <c r="E113" s="2" t="n">
        <v>74.39999999999999</v>
      </c>
      <c r="F113" t="inlineStr">
        <is>
          <t>2021-22 National Treasures #RMD-EVM Evan Mobley RPA Rookie Patch Auto /99 RC</t>
        </is>
      </c>
      <c r="G113" s="2" t="n">
        <v>81</v>
      </c>
      <c r="H113" t="n">
        <v>26</v>
      </c>
      <c r="I113" s="3" t="n"/>
      <c r="J113" s="2">
        <f>IF(I113&lt;&gt;"",I113,G113)</f>
        <v/>
      </c>
      <c r="K113" s="2">
        <f>E113-J113</f>
        <v/>
      </c>
      <c r="L113" s="4">
        <f>IF(J113&gt;0,K113/J113,"")</f>
        <v/>
      </c>
    </row>
    <row r="114">
      <c r="A114" t="n">
        <v>113</v>
      </c>
      <c r="B114" t="inlineStr">
        <is>
          <t>Whatnot</t>
        </is>
      </c>
      <c r="C114" t="inlineStr">
        <is>
          <t>2025 Topps Chrome Red White &amp; Blue Refractor Stephon Castle #228 CGC AUTH</t>
        </is>
      </c>
      <c r="D114" t="inlineStr">
        <is>
          <t>2026-03-22</t>
        </is>
      </c>
      <c r="E114" s="2" t="n">
        <v>3.300000000000001</v>
      </c>
      <c r="F114" t="inlineStr">
        <is>
          <t>Stephon Castle 2025-26 Topps Chrome Red White Blue #228</t>
        </is>
      </c>
      <c r="G114" s="2" t="n">
        <v>8.27</v>
      </c>
      <c r="H114" t="n">
        <v>32</v>
      </c>
      <c r="I114" s="3" t="n"/>
      <c r="J114" s="2">
        <f>IF(I114&lt;&gt;"",I114,G114)</f>
        <v/>
      </c>
      <c r="K114" s="2">
        <f>E114-J114</f>
        <v/>
      </c>
      <c r="L114" s="4">
        <f>IF(J114&gt;0,K114/J114,"")</f>
        <v/>
      </c>
    </row>
    <row r="115">
      <c r="A115" t="n">
        <v>114</v>
      </c>
      <c r="B115" t="inlineStr">
        <is>
          <t>Whatnot</t>
        </is>
      </c>
      <c r="C115" t="inlineStr">
        <is>
          <t>2025 Topps Chrome Red White &amp; Blue Refractor Cooper Flagg ROOKIE #251 CGC AUTH</t>
        </is>
      </c>
      <c r="D115" t="inlineStr">
        <is>
          <t>2026-03-29</t>
        </is>
      </c>
      <c r="E115" s="2" t="n">
        <v>147.5</v>
      </c>
      <c r="F115" t="inlineStr">
        <is>
          <t>2025-26 Topps Chrome Cooper Flagg #251 RC Rookie Red/White/Blue Refractor -M1</t>
        </is>
      </c>
      <c r="G115" s="2" t="n">
        <v>151.5</v>
      </c>
      <c r="H115" t="n">
        <v>34</v>
      </c>
      <c r="I115" s="3" t="n"/>
      <c r="J115" s="2">
        <f>IF(I115&lt;&gt;"",I115,G115)</f>
        <v/>
      </c>
      <c r="K115" s="2">
        <f>E115-J115</f>
        <v/>
      </c>
      <c r="L115" s="4">
        <f>IF(J115&gt;0,K115/J115,"")</f>
        <v/>
      </c>
    </row>
    <row r="116">
      <c r="A116" t="n">
        <v>115</v>
      </c>
      <c r="B116" t="inlineStr">
        <is>
          <t>Whatnot</t>
        </is>
      </c>
      <c r="C116" t="inlineStr">
        <is>
          <t>2025 Topps Chrome Raywave Refractor Victor Wembanyama #221 CGC AUTH</t>
        </is>
      </c>
      <c r="D116" t="inlineStr">
        <is>
          <t>2026-04-26</t>
        </is>
      </c>
      <c r="E116" s="2" t="n">
        <v>11.7</v>
      </c>
      <c r="F116" t="inlineStr">
        <is>
          <t>2025-26 Topps Chrome Victor Wembanyama #221 Raywave Refractor</t>
        </is>
      </c>
      <c r="G116" s="2" t="n">
        <v>14</v>
      </c>
      <c r="H116" t="n">
        <v>30</v>
      </c>
      <c r="I116" s="3" t="n"/>
      <c r="J116" s="2">
        <f>IF(I116&lt;&gt;"",I116,G116)</f>
        <v/>
      </c>
      <c r="K116" s="2">
        <f>E116-J116</f>
        <v/>
      </c>
      <c r="L116" s="4">
        <f>IF(J116&gt;0,K116/J116,"")</f>
        <v/>
      </c>
    </row>
    <row r="117">
      <c r="A117" t="n">
        <v>116</v>
      </c>
      <c r="B117" t="inlineStr">
        <is>
          <t>Whatnot</t>
        </is>
      </c>
      <c r="C117" t="inlineStr">
        <is>
          <t>2025 Topps Chrome Xfractor Stephen Curry #201 CGC AUTH</t>
        </is>
      </c>
      <c r="D117" t="inlineStr">
        <is>
          <t>2026-03-22</t>
        </is>
      </c>
      <c r="E117" s="2" t="n">
        <v>7.5</v>
      </c>
      <c r="F117" t="inlineStr">
        <is>
          <t>Stephen Curry 2025-26 Topps Chrome Multi Warriors #201</t>
        </is>
      </c>
      <c r="G117" s="2" t="n">
        <v>8.050000000000001</v>
      </c>
      <c r="H117" t="n">
        <v>26</v>
      </c>
      <c r="I117" s="3" t="n"/>
      <c r="J117" s="2">
        <f>IF(I117&lt;&gt;"",I117,G117)</f>
        <v/>
      </c>
      <c r="K117" s="2">
        <f>E117-J117</f>
        <v/>
      </c>
      <c r="L117" s="4">
        <f>IF(J117&gt;0,K117/J117,"")</f>
        <v/>
      </c>
    </row>
    <row r="118">
      <c r="A118" t="n">
        <v>117</v>
      </c>
      <c r="B118" t="inlineStr">
        <is>
          <t>Whatnot</t>
        </is>
      </c>
      <c r="C118" t="inlineStr">
        <is>
          <t>2025 Topps Chrome Patented Stephen Curry #PD-2 CGC AUTH</t>
        </is>
      </c>
      <c r="D118" t="inlineStr">
        <is>
          <t>2026-03-22</t>
        </is>
      </c>
      <c r="E118" s="2" t="n">
        <v>228</v>
      </c>
      <c r="F118" t="inlineStr">
        <is>
          <t>2025-26 Topps Chrome Basketball Patented Stephen Curry SSP PD-2!</t>
        </is>
      </c>
      <c r="G118" s="2" t="n">
        <v>228.5</v>
      </c>
      <c r="H118" t="n">
        <v>28</v>
      </c>
      <c r="I118" s="3" t="n"/>
      <c r="J118" s="2">
        <f>IF(I118&lt;&gt;"",I118,G118)</f>
        <v/>
      </c>
      <c r="K118" s="2">
        <f>E118-J118</f>
        <v/>
      </c>
      <c r="L118" s="4">
        <f>IF(J118&gt;0,K118/J118,"")</f>
        <v/>
      </c>
    </row>
    <row r="119">
      <c r="A119" t="n">
        <v>118</v>
      </c>
      <c r="B119" t="inlineStr">
        <is>
          <t>Whatnot</t>
        </is>
      </c>
      <c r="C119" t="inlineStr">
        <is>
          <t>2023 Panini Premium Stock City Edition Silver Victor Wembanyama ROOKIE #25 CGC AUTH</t>
        </is>
      </c>
      <c r="D119" t="inlineStr">
        <is>
          <t>2026-04-26</t>
        </is>
      </c>
      <c r="E119" s="2" t="n">
        <v>34.8</v>
      </c>
      <c r="F119" t="inlineStr">
        <is>
          <t>2023-24 Hoops Premium Stock City Edition Victor Wembanyama #25 Silver Prizm Rc🔥</t>
        </is>
      </c>
      <c r="G119" s="2" t="n">
        <v>35</v>
      </c>
      <c r="H119" t="n">
        <v>29</v>
      </c>
      <c r="I119" s="3" t="n"/>
      <c r="J119" s="2">
        <f>IF(I119&lt;&gt;"",I119,G119)</f>
        <v/>
      </c>
      <c r="K119" s="2">
        <f>E119-J119</f>
        <v/>
      </c>
      <c r="L119" s="4">
        <f>IF(J119&gt;0,K119/J119,"")</f>
        <v/>
      </c>
    </row>
    <row r="120">
      <c r="A120" t="n">
        <v>119</v>
      </c>
      <c r="B120" t="inlineStr">
        <is>
          <t>Whatnot</t>
        </is>
      </c>
      <c r="C120" t="inlineStr">
        <is>
          <t>2024 Donruss Optic Blue Glitter Yao Ming JERSEY # 11/15 #226 CGC AUTH</t>
        </is>
      </c>
      <c r="D120" t="inlineStr">
        <is>
          <t>2026-03-22</t>
        </is>
      </c>
      <c r="E120" s="2" t="n">
        <v>16.95</v>
      </c>
      <c r="F120" t="inlineStr">
        <is>
          <t>2024-25 Donruss Optic Yao Ming Legends Red Glitter 10/75 Rockets #226 - RARE</t>
        </is>
      </c>
      <c r="G120" s="2" t="n">
        <v>17</v>
      </c>
      <c r="H120" t="n">
        <v>28</v>
      </c>
      <c r="I120" s="3" t="n"/>
      <c r="J120" s="2">
        <f>IF(I120&lt;&gt;"",I120,G120)</f>
        <v/>
      </c>
      <c r="K120" s="2">
        <f>E120-J120</f>
        <v/>
      </c>
      <c r="L120" s="4">
        <f>IF(J120&gt;0,K120/J120,"")</f>
        <v/>
      </c>
    </row>
    <row r="121">
      <c r="A121" t="n">
        <v>120</v>
      </c>
      <c r="B121" t="inlineStr">
        <is>
          <t>Whatnot</t>
        </is>
      </c>
      <c r="C121" t="inlineStr">
        <is>
          <t>2025 Topps Chrome Red White &amp; Blue Refractor Victor Wembanyama #221 CGC AUTH</t>
        </is>
      </c>
      <c r="D121" t="inlineStr">
        <is>
          <t>2026-04-26</t>
        </is>
      </c>
      <c r="E121" s="2" t="n">
        <v>7.5</v>
      </c>
      <c r="F121" t="inlineStr">
        <is>
          <t>2025-26 Topps Chrome Victor Wembanyama #221 Blue/White/Red Refractor</t>
        </is>
      </c>
      <c r="G121" s="2" t="n">
        <v>7.5</v>
      </c>
      <c r="H121" t="n">
        <v>34</v>
      </c>
      <c r="I121" s="3" t="n"/>
      <c r="J121" s="2">
        <f>IF(I121&lt;&gt;"",I121,G121)</f>
        <v/>
      </c>
      <c r="K121" s="2">
        <f>E121-J121</f>
        <v/>
      </c>
      <c r="L121" s="4">
        <f>IF(J121&gt;0,K121/J121,"")</f>
        <v/>
      </c>
    </row>
    <row r="122">
      <c r="A122" t="n">
        <v>121</v>
      </c>
      <c r="B122" t="inlineStr">
        <is>
          <t>Whatnot</t>
        </is>
      </c>
      <c r="C122" t="inlineStr">
        <is>
          <t>2023 Panini One And One Green Jalen Johnson 5/5 #2</t>
        </is>
      </c>
      <c r="D122" t="inlineStr">
        <is>
          <t>2026-02-21</t>
        </is>
      </c>
      <c r="E122" s="2" t="n">
        <v>27.3</v>
      </c>
      <c r="F122" t="inlineStr">
        <is>
          <t>2023-24 Panini One and One Jalen Johnson #2 Emerald 5/5 eBay 1/1 SSP Case Hit</t>
        </is>
      </c>
      <c r="G122" s="2" t="n">
        <v>27</v>
      </c>
      <c r="H122" t="n">
        <v>27</v>
      </c>
      <c r="I122" s="3" t="n"/>
      <c r="J122" s="2">
        <f>IF(I122&lt;&gt;"",I122,G122)</f>
        <v/>
      </c>
      <c r="K122" s="2">
        <f>E122-J122</f>
        <v/>
      </c>
      <c r="L122" s="4">
        <f>IF(J122&gt;0,K122/J122,"")</f>
        <v/>
      </c>
    </row>
    <row r="123">
      <c r="A123" t="n">
        <v>122</v>
      </c>
      <c r="B123" t="inlineStr">
        <is>
          <t>Whatnot</t>
        </is>
      </c>
      <c r="C123" t="inlineStr">
        <is>
          <t>2025 Topps Chrome Xfractor Ace Bailey ROOKIE #255 CGC AUTH</t>
        </is>
      </c>
      <c r="D123" t="inlineStr">
        <is>
          <t>2026-03-29</t>
        </is>
      </c>
      <c r="E123" s="2" t="n">
        <v>9.600000000000001</v>
      </c>
      <c r="F123" t="inlineStr">
        <is>
          <t>2025-26 Topps Chrome Ace Bailey X-Fractor Parallel Rookie Card RC #255 Utah Jazz</t>
        </is>
      </c>
      <c r="G123" s="2" t="n">
        <v>8.5</v>
      </c>
      <c r="H123" t="n">
        <v>26</v>
      </c>
      <c r="I123" s="3" t="n"/>
      <c r="J123" s="2">
        <f>IF(I123&lt;&gt;"",I123,G123)</f>
        <v/>
      </c>
      <c r="K123" s="2">
        <f>E123-J123</f>
        <v/>
      </c>
      <c r="L123" s="4">
        <f>IF(J123&gt;0,K123/J123,"")</f>
        <v/>
      </c>
    </row>
    <row r="124">
      <c r="A124" t="n">
        <v>123</v>
      </c>
      <c r="B124" t="inlineStr">
        <is>
          <t>Whatnot</t>
        </is>
      </c>
      <c r="C124" t="inlineStr">
        <is>
          <t>2025 Topps All Team Shohei Ohtani #ATT-3 CGC AUTH</t>
        </is>
      </c>
      <c r="D124" t="inlineStr">
        <is>
          <t>2026-04-12</t>
        </is>
      </c>
      <c r="E124" s="2" t="n">
        <v>2.25</v>
      </c>
      <c r="F124" t="inlineStr">
        <is>
          <t>2025 Topps Series 1 - 2024 All-Topps Team Shohei Ohtani #ATT-3</t>
        </is>
      </c>
      <c r="G124" s="2" t="n">
        <v>0.99</v>
      </c>
      <c r="H124" t="n">
        <v>25</v>
      </c>
      <c r="I124" s="3" t="n"/>
      <c r="J124" s="2">
        <f>IF(I124&lt;&gt;"",I124,G124)</f>
        <v/>
      </c>
      <c r="K124" s="2">
        <f>E124-J124</f>
        <v/>
      </c>
      <c r="L124" s="4">
        <f>IF(J124&gt;0,K124/J124,"")</f>
        <v/>
      </c>
    </row>
    <row r="125">
      <c r="A125" t="n">
        <v>124</v>
      </c>
      <c r="B125" t="inlineStr">
        <is>
          <t>Whatnot</t>
        </is>
      </c>
      <c r="C125" t="inlineStr">
        <is>
          <t>2022 Immaculate Collection Immaculate Ink Steve Kerr AUTO /99 #II-SKR CGC AUTH</t>
        </is>
      </c>
      <c r="D125" t="inlineStr">
        <is>
          <t>2026-02-21</t>
        </is>
      </c>
      <c r="E125" s="2" t="n">
        <v>28.5</v>
      </c>
      <c r="F125" t="inlineStr">
        <is>
          <t>2022-23 Panini Immaculate Immaculate Ink /99 Steve Kerr #II-SKR Auto</t>
        </is>
      </c>
      <c r="G125" s="2" t="n">
        <v>24.39</v>
      </c>
      <c r="H125" t="n">
        <v>28</v>
      </c>
      <c r="I125" s="3" t="n"/>
      <c r="J125" s="2">
        <f>IF(I125&lt;&gt;"",I125,G125)</f>
        <v/>
      </c>
      <c r="K125" s="2">
        <f>E125-J125</f>
        <v/>
      </c>
      <c r="L125" s="4">
        <f>IF(J125&gt;0,K125/J125,"")</f>
        <v/>
      </c>
    </row>
    <row r="126">
      <c r="A126" t="n">
        <v>125</v>
      </c>
      <c r="B126" t="inlineStr">
        <is>
          <t>Whatnot</t>
        </is>
      </c>
      <c r="C126" t="inlineStr">
        <is>
          <t>2024 National Treasures Silver NBA Logos Kevin Durant RELIC /10 #49 CGC AUTH</t>
        </is>
      </c>
      <c r="D126" t="inlineStr">
        <is>
          <t>2026-03-01</t>
        </is>
      </c>
      <c r="E126" s="2" t="n">
        <v>169</v>
      </c>
      <c r="F126" t="inlineStr">
        <is>
          <t>2024-25 Panini National Treasures Kevin Durant #49 NBA Logoman Silver Bar /12</t>
        </is>
      </c>
      <c r="G126" s="2" t="n">
        <v>161.5</v>
      </c>
      <c r="H126" t="n">
        <v>28</v>
      </c>
      <c r="I126" s="3" t="n"/>
      <c r="J126" s="2">
        <f>IF(I126&lt;&gt;"",I126,G126)</f>
        <v/>
      </c>
      <c r="K126" s="2">
        <f>E126-J126</f>
        <v/>
      </c>
      <c r="L126" s="4">
        <f>IF(J126&gt;0,K126/J126,"")</f>
        <v/>
      </c>
    </row>
    <row r="127">
      <c r="A127" t="n">
        <v>126</v>
      </c>
      <c r="B127" t="inlineStr">
        <is>
          <t>Whatnot</t>
        </is>
      </c>
      <c r="C127" t="inlineStr">
        <is>
          <t>2024 Panini Mosaic Elevate White Fluorescent Victor Wembanyama /10 #11 CGC AUTH</t>
        </is>
      </c>
      <c r="D127" t="inlineStr">
        <is>
          <t>2026-02-21</t>
        </is>
      </c>
      <c r="E127" s="2" t="n">
        <v>179.75</v>
      </c>
      <c r="F127" t="inlineStr">
        <is>
          <t>2024-25 Panini Mosaic Victor Wembanyama #11 White Fluorescent Prizm Elevate /30</t>
        </is>
      </c>
      <c r="G127" s="2" t="n">
        <v>163.5</v>
      </c>
      <c r="H127" t="n">
        <v>32</v>
      </c>
      <c r="I127" s="3" t="n"/>
      <c r="J127" s="2">
        <f>IF(I127&lt;&gt;"",I127,G127)</f>
        <v/>
      </c>
      <c r="K127" s="2">
        <f>E127-J127</f>
        <v/>
      </c>
      <c r="L127" s="4">
        <f>IF(J127&gt;0,K127/J127,"")</f>
        <v/>
      </c>
    </row>
    <row r="128">
      <c r="A128" t="n">
        <v>127</v>
      </c>
      <c r="B128" t="inlineStr">
        <is>
          <t>Whatnot</t>
        </is>
      </c>
      <c r="C128" t="inlineStr">
        <is>
          <t>1969 Topps Reggie Jackson ROOKIE #260 CGC AUTH</t>
        </is>
      </c>
      <c r="D128" t="inlineStr">
        <is>
          <t>2026-03-22</t>
        </is>
      </c>
      <c r="E128" s="2" t="n">
        <v>87.3</v>
      </c>
      <c r="F128" t="inlineStr">
        <is>
          <t>Nikola Jokic 2025-26 Topps Finest 14/25 Blue Geometric Rare Nuggets #260</t>
        </is>
      </c>
      <c r="G128" s="2" t="n">
        <v>36</v>
      </c>
      <c r="H128" t="n">
        <v>12</v>
      </c>
      <c r="I128" s="3" t="n"/>
      <c r="J128" s="2">
        <f>IF(I128&lt;&gt;"",I128,G128)</f>
        <v/>
      </c>
      <c r="K128" s="2">
        <f>E128-J128</f>
        <v/>
      </c>
      <c r="L128" s="4">
        <f>IF(J128&gt;0,K128/J128,"")</f>
        <v/>
      </c>
    </row>
    <row r="129">
      <c r="A129" t="n">
        <v>128</v>
      </c>
      <c r="B129" t="inlineStr">
        <is>
          <t>Whatnot</t>
        </is>
      </c>
      <c r="C129" t="inlineStr">
        <is>
          <t>2025 Topps Chrome Red White &amp; Blue Refractor Kon Knueppel ROOKIE #254 CGC AUTH</t>
        </is>
      </c>
      <c r="D129" t="inlineStr">
        <is>
          <t>2026-03-22</t>
        </is>
      </c>
      <c r="E129" s="2" t="n">
        <v>87.3</v>
      </c>
      <c r="F129" t="inlineStr">
        <is>
          <t>Rookie 2025-26 Topps Chrome #254 Kon Knueppel Red White and Blue Refractor</t>
        </is>
      </c>
      <c r="G129" s="2" t="n">
        <v>25</v>
      </c>
      <c r="H129" t="n">
        <v>34</v>
      </c>
      <c r="I129" s="3" t="n"/>
      <c r="J129" s="2">
        <f>IF(I129&lt;&gt;"",I129,G129)</f>
        <v/>
      </c>
      <c r="K129" s="2">
        <f>E129-J129</f>
        <v/>
      </c>
      <c r="L129" s="4">
        <f>IF(J129&gt;0,K129/J129,"")</f>
        <v/>
      </c>
    </row>
    <row r="130">
      <c r="A130" t="n">
        <v>129</v>
      </c>
      <c r="B130" t="inlineStr">
        <is>
          <t>Whatnot</t>
        </is>
      </c>
      <c r="C130" t="inlineStr">
        <is>
          <t>2014 Panini Threads Prime Joel Embiid ROOKIE PATCH AUTO 25/25 #3 CGC AUTH</t>
        </is>
      </c>
      <c r="D130" t="inlineStr">
        <is>
          <t>2026-03-01</t>
        </is>
      </c>
      <c r="E130" s="2" t="n">
        <v>174.39</v>
      </c>
      <c r="F130" t="inlineStr">
        <is>
          <t>2014 Panini Limited Davante Adams RC Patch Silver Spotlight #39/49 Packers</t>
        </is>
      </c>
      <c r="G130" s="2" t="n">
        <v>108.5</v>
      </c>
      <c r="H130" t="n">
        <v>17</v>
      </c>
      <c r="I130" s="3" t="n"/>
      <c r="J130" s="2">
        <f>IF(I130&lt;&gt;"",I130,G130)</f>
        <v/>
      </c>
      <c r="K130" s="2">
        <f>E130-J130</f>
        <v/>
      </c>
      <c r="L130" s="4">
        <f>IF(J130&gt;0,K130/J130,"")</f>
        <v/>
      </c>
    </row>
    <row r="131">
      <c r="A131" t="n">
        <v>130</v>
      </c>
      <c r="B131" t="inlineStr">
        <is>
          <t>Whatnot</t>
        </is>
      </c>
      <c r="C131" t="inlineStr">
        <is>
          <t>2025 Topps Chrome Red White &amp; Blue Refractor Kon Knueppel ROOKIE #254 CGC AUTH</t>
        </is>
      </c>
      <c r="D131" t="inlineStr">
        <is>
          <t>2026-03-29</t>
        </is>
      </c>
      <c r="E131" s="2" t="n">
        <v>98.05</v>
      </c>
      <c r="F131" t="inlineStr">
        <is>
          <t>Rookie 2025-26 Topps Chrome #254 Kon Knueppel Red White and Blue Refractor</t>
        </is>
      </c>
      <c r="G131" s="2" t="n">
        <v>25</v>
      </c>
      <c r="H131" t="n">
        <v>34</v>
      </c>
      <c r="I131" s="3" t="n"/>
      <c r="J131" s="2">
        <f>IF(I131&lt;&gt;"",I131,G131)</f>
        <v/>
      </c>
      <c r="K131" s="2">
        <f>E131-J131</f>
        <v/>
      </c>
      <c r="L131" s="4">
        <f>IF(J131&gt;0,K131/J131,"")</f>
        <v/>
      </c>
    </row>
    <row r="132">
      <c r="A132" t="n">
        <v>131</v>
      </c>
      <c r="B132" t="inlineStr">
        <is>
          <t>Whatnot</t>
        </is>
      </c>
      <c r="C132" t="inlineStr">
        <is>
          <t>2024 Immaculate Collection Chet Holmgren PATCH AUTO /15 #IRP-HOL CGC AUTH</t>
        </is>
      </c>
      <c r="D132" t="inlineStr">
        <is>
          <t>2026-03-01</t>
        </is>
      </c>
      <c r="E132" s="2" t="n">
        <v>131.39</v>
      </c>
      <c r="F132" t="inlineStr">
        <is>
          <t>Chet Holmgren 2024-25 Panini Immaculate Collection Red 15/15 #20</t>
        </is>
      </c>
      <c r="G132" s="2" t="n">
        <v>46</v>
      </c>
      <c r="H132" t="n">
        <v>21</v>
      </c>
      <c r="I132" s="3" t="n"/>
      <c r="J132" s="2">
        <f>IF(I132&lt;&gt;"",I132,G132)</f>
        <v/>
      </c>
      <c r="K132" s="2">
        <f>E132-J132</f>
        <v/>
      </c>
      <c r="L132" s="4">
        <f>IF(J132&gt;0,K132/J132,"")</f>
        <v/>
      </c>
    </row>
    <row r="133">
      <c r="A133" t="n">
        <v>132</v>
      </c>
      <c r="B133" t="inlineStr">
        <is>
          <t>Whatnot</t>
        </is>
      </c>
      <c r="C133" t="inlineStr">
        <is>
          <t>2025 Topps Holiday Red Glitter Ronald Acuna Jr. AUTO 1/10 #PA-RA CGC AUTH</t>
        </is>
      </c>
      <c r="D133" t="inlineStr">
        <is>
          <t>2026-03-01</t>
        </is>
      </c>
      <c r="E133" s="2" t="n">
        <v>272</v>
      </c>
      <c r="F133" t="inlineStr">
        <is>
          <t>2025 Topps Holiday Red - Acuna jr. PA-RA Auto 01/10 Atlanta Braves</t>
        </is>
      </c>
      <c r="G133" s="2" t="n">
        <v>179.47</v>
      </c>
      <c r="H133" t="n">
        <v>23</v>
      </c>
      <c r="I133" s="3" t="n"/>
      <c r="J133" s="2">
        <f>IF(I133&lt;&gt;"",I133,G133)</f>
        <v/>
      </c>
      <c r="K133" s="2">
        <f>E133-J133</f>
        <v/>
      </c>
      <c r="L133" s="4">
        <f>IF(J133&gt;0,K133/J133,"")</f>
        <v/>
      </c>
    </row>
    <row r="134">
      <c r="A134" t="n">
        <v>133</v>
      </c>
      <c r="B134" t="inlineStr">
        <is>
          <t>Whatnot</t>
        </is>
      </c>
      <c r="C134" t="inlineStr">
        <is>
          <t>2021 Panini Eminence Jumbo Gold Ja Morant PATCH AUTO 1/5 #JPA-JAM</t>
        </is>
      </c>
      <c r="D134" t="inlineStr">
        <is>
          <t>2026-02-21</t>
        </is>
      </c>
      <c r="E134" s="2" t="n">
        <v>440.0000000000001</v>
      </c>
      <c r="F134" t="inlineStr">
        <is>
          <t>2021-22 Panini Noir - Icon Edition LeBron James #110 Holo Gold /5</t>
        </is>
      </c>
      <c r="G134" s="2" t="n">
        <v>300</v>
      </c>
      <c r="H134" t="n">
        <v>14</v>
      </c>
      <c r="I134" s="3" t="n"/>
      <c r="J134" s="2">
        <f>IF(I134&lt;&gt;"",I134,G134)</f>
        <v/>
      </c>
      <c r="K134" s="2">
        <f>E134-J134</f>
        <v/>
      </c>
      <c r="L134" s="4">
        <f>IF(J134&gt;0,K134/J134,"")</f>
        <v/>
      </c>
    </row>
    <row r="135">
      <c r="A135" t="n">
        <v>134</v>
      </c>
      <c r="B135" t="inlineStr">
        <is>
          <t>Whatnot</t>
        </is>
      </c>
      <c r="C135" t="inlineStr">
        <is>
          <t>2025 Topps Chrome Gold Geometric Refractor Victor Wembanyama /50 #221 CGC AUTH</t>
        </is>
      </c>
      <c r="D135" t="inlineStr">
        <is>
          <t>2026-05-03</t>
        </is>
      </c>
      <c r="E135" s="2" t="n">
        <v>739.5000000000001</v>
      </c>
      <c r="F135" t="inlineStr">
        <is>
          <t>2025-26 Topps Chrome Victor Wembanyama Gold Geometric Refractor /50 #221 Spurs</t>
        </is>
      </c>
      <c r="G135" s="2" t="n">
        <v>575</v>
      </c>
      <c r="H135" t="n">
        <v>32</v>
      </c>
      <c r="I135" s="3" t="n"/>
      <c r="J135" s="2">
        <f>IF(I135&lt;&gt;"",I135,G135)</f>
        <v/>
      </c>
      <c r="K135" s="2">
        <f>E135-J135</f>
        <v/>
      </c>
      <c r="L135" s="4">
        <f>IF(J135&gt;0,K135/J135,"")</f>
        <v/>
      </c>
    </row>
    <row r="136">
      <c r="A136" t="n">
        <v>135</v>
      </c>
      <c r="B136" t="inlineStr">
        <is>
          <t>Whatnot</t>
        </is>
      </c>
      <c r="C136" t="inlineStr">
        <is>
          <t>2021 Panini One And One Timeless Moments Purple Nikola Jokic AUTO /35 #TM-NJK</t>
        </is>
      </c>
      <c r="D136" t="inlineStr">
        <is>
          <t>2026-02-21</t>
        </is>
      </c>
      <c r="E136" s="2" t="n">
        <v>797.5000000000001</v>
      </c>
      <c r="F136" t="inlineStr">
        <is>
          <t>25/25 ≈1/1 ! 2022-23 Panini One And One Nikola Jokic #JA-NJK Patch Jersey Auto</t>
        </is>
      </c>
      <c r="G136" s="2" t="n">
        <v>488</v>
      </c>
      <c r="H136" t="n">
        <v>17</v>
      </c>
      <c r="I136" s="3" t="n"/>
      <c r="J136" s="2">
        <f>IF(I136&lt;&gt;"",I136,G136)</f>
        <v/>
      </c>
      <c r="K136" s="2">
        <f>E136-J136</f>
        <v/>
      </c>
      <c r="L136" s="4">
        <f>IF(J136&gt;0,K136/J136,"")</f>
        <v/>
      </c>
    </row>
    <row r="137">
      <c r="A137" t="n">
        <v>136</v>
      </c>
      <c r="B137" t="inlineStr">
        <is>
          <t>Whatnot</t>
        </is>
      </c>
      <c r="C137" t="inlineStr">
        <is>
          <t>2019 Panini One And One 1st Team '25 Black Box Nikola Jokic AUTO 1/1 #FT-NJK</t>
        </is>
      </c>
      <c r="D137" t="inlineStr">
        <is>
          <t>2026-02-21</t>
        </is>
      </c>
      <c r="E137" s="2" t="n">
        <v>742.5000000000001</v>
      </c>
      <c r="F137" t="inlineStr">
        <is>
          <t>2019-20 Panini One And One Nikola Jokic #FT-NJK First Team Signatures Auto /49</t>
        </is>
      </c>
      <c r="G137" s="2" t="n">
        <v>369</v>
      </c>
      <c r="H137" t="n">
        <v>29</v>
      </c>
      <c r="I137" s="3" t="n"/>
      <c r="J137" s="2">
        <f>IF(I137&lt;&gt;"",I137,G137)</f>
        <v/>
      </c>
      <c r="K137" s="2">
        <f>E137-J137</f>
        <v/>
      </c>
      <c r="L137" s="4">
        <f>IF(J137&gt;0,K137/J137,"")</f>
        <v/>
      </c>
    </row>
    <row r="138">
      <c r="A138" t="n">
        <v>137</v>
      </c>
      <c r="B138" t="inlineStr">
        <is>
          <t>Whatnot</t>
        </is>
      </c>
      <c r="C138" t="inlineStr">
        <is>
          <t>2023 Topps Three Rain Drops Platinum Tyrese Maxey AUTO 1/1 #RS-TM</t>
        </is>
      </c>
      <c r="D138" t="inlineStr">
        <is>
          <t>2026-03-01</t>
        </is>
      </c>
      <c r="E138" s="2" t="n">
        <v>742.5000000000001</v>
      </c>
      <c r="F138" t="inlineStr">
        <is>
          <t>Tyrese Maxey 2025-26 Topps Three /10 Auto Raindrops Signatures Redemption #RS-TM</t>
        </is>
      </c>
      <c r="G138" s="2" t="n">
        <v>230.5</v>
      </c>
      <c r="H138" t="n">
        <v>22</v>
      </c>
      <c r="I138" s="3" t="n"/>
      <c r="J138" s="2">
        <f>IF(I138&lt;&gt;"",I138,G138)</f>
        <v/>
      </c>
      <c r="K138" s="2">
        <f>E138-J138</f>
        <v/>
      </c>
      <c r="L138" s="4">
        <f>IF(J138&gt;0,K138/J138,"")</f>
        <v/>
      </c>
    </row>
    <row r="139">
      <c r="A139" t="n">
        <v>138</v>
      </c>
      <c r="B139" t="inlineStr">
        <is>
          <t>Whatnot</t>
        </is>
      </c>
      <c r="C139" t="inlineStr">
        <is>
          <t>2025 Panini The National VIP Wave Yao Ming AUTO 1/1 #19 CGC AUTH</t>
        </is>
      </c>
      <c r="D139" t="inlineStr">
        <is>
          <t>2026-03-01</t>
        </is>
      </c>
      <c r="E139" s="2" t="n">
        <v>794.5000000000001</v>
      </c>
      <c r="F139" t="inlineStr">
        <is>
          <t>2025-26 Topps Chrome - Kon Knueppel #254 Aqua Raywave Refractor /199 (RC)</t>
        </is>
      </c>
      <c r="G139" s="2" t="n">
        <v>202.5</v>
      </c>
      <c r="H139" t="n">
        <v>17</v>
      </c>
      <c r="I139" s="3" t="n"/>
      <c r="J139" s="2">
        <f>IF(I139&lt;&gt;"",I139,G139)</f>
        <v/>
      </c>
      <c r="K139" s="2">
        <f>E139-J139</f>
        <v/>
      </c>
      <c r="L139" s="4">
        <f>IF(J139&gt;0,K139/J139,"")</f>
        <v/>
      </c>
    </row>
    <row r="140">
      <c r="A140" t="n">
        <v>139</v>
      </c>
      <c r="B140" t="inlineStr">
        <is>
          <t>Whatnot</t>
        </is>
      </c>
      <c r="C140" t="inlineStr">
        <is>
          <t>2020 National Treasures Colossal White Box Tyrese Maxey ROOKIE PATCH AUTO 1/1 #CM-TMX</t>
        </is>
      </c>
      <c r="D140" t="inlineStr">
        <is>
          <t>2026-02-21</t>
        </is>
      </c>
      <c r="E140" s="2" t="n">
        <v>990.0000000000001</v>
      </c>
      <c r="F140" t="inlineStr">
        <is>
          <t>Tyrese Maxey 2020-21 Panini Prizm Penmanship #RP-TMX PSA 10 MINT Rookie Auto RC</t>
        </is>
      </c>
      <c r="G140" s="2" t="n">
        <v>340</v>
      </c>
      <c r="H140" t="n">
        <v>14</v>
      </c>
      <c r="I140" s="3" t="n"/>
      <c r="J140" s="2">
        <f>IF(I140&lt;&gt;"",I140,G140)</f>
        <v/>
      </c>
      <c r="K140" s="2">
        <f>E140-J140</f>
        <v/>
      </c>
      <c r="L140" s="4">
        <f>IF(J140&gt;0,K140/J140,"")</f>
        <v/>
      </c>
    </row>
    <row r="142">
      <c r="D142" s="1" t="inlineStr">
        <is>
          <t>TOTALS:</t>
        </is>
      </c>
      <c r="E142" s="3">
        <f>SUM(E2:E140)</f>
        <v/>
      </c>
      <c r="J142" s="3">
        <f>SUM(J2:J140)</f>
        <v/>
      </c>
      <c r="K142" s="3">
        <f>SUM(K2:K140)</f>
        <v/>
      </c>
      <c r="L142" s="5">
        <f>IF(J142&gt;0,K142/J142,"")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Platform</t>
        </is>
      </c>
      <c r="C1" s="1" t="inlineStr">
        <is>
          <t>Card</t>
        </is>
      </c>
      <c r="D1" s="1" t="inlineStr">
        <is>
          <t>Date</t>
        </is>
      </c>
      <c r="E1" s="1" t="inlineStr">
        <is>
          <t>Proceeds</t>
        </is>
      </c>
      <c r="F1" s="1" t="inlineStr">
        <is>
          <t>Best Guess</t>
        </is>
      </c>
      <c r="G1" s="1" t="inlineStr">
        <is>
          <t>Guess Cost</t>
        </is>
      </c>
      <c r="H1" s="1" t="inlineStr">
        <is>
          <t>YOUR COST</t>
        </is>
      </c>
      <c r="I1" s="1" t="inlineStr">
        <is>
          <t>P&amp;L</t>
        </is>
      </c>
      <c r="J1" s="1" t="inlineStr">
        <is>
          <t>Return</t>
        </is>
      </c>
    </row>
    <row r="2">
      <c r="A2" t="n">
        <v>1</v>
      </c>
      <c r="B2" t="inlineStr">
        <is>
          <t>Whatnot</t>
        </is>
      </c>
      <c r="C2" t="inlineStr">
        <is>
          <t>2022 National Treasures Treasured Moments '25 Black Box Stephen Curry AUTO 1/1 #TM-SCY</t>
        </is>
      </c>
      <c r="D2" t="inlineStr">
        <is>
          <t>2026-02-21</t>
        </is>
      </c>
      <c r="E2" s="2" t="n">
        <v>2860</v>
      </c>
      <c r="G2" s="2" t="n">
        <v>0</v>
      </c>
      <c r="H2" s="3" t="n"/>
      <c r="I2" s="2">
        <f>IF(H2&lt;&gt;"",E2-H2,"")</f>
        <v/>
      </c>
      <c r="J2" s="4">
        <f>IF(H2&lt;&gt;"",I2/H2,"")</f>
        <v/>
      </c>
    </row>
    <row r="3">
      <c r="A3" t="n">
        <v>2</v>
      </c>
      <c r="B3" t="inlineStr">
        <is>
          <t>Whatnot</t>
        </is>
      </c>
      <c r="C3" t="inlineStr">
        <is>
          <t>2020 National Treasures Horizontal '25 Black Box Tyrese Maxey ROOKIE PATCH AUTO 1/1 #114</t>
        </is>
      </c>
      <c r="D3" t="inlineStr">
        <is>
          <t>2026-02-21</t>
        </is>
      </c>
      <c r="E3" s="2" t="n">
        <v>1155</v>
      </c>
      <c r="G3" s="2" t="n">
        <v>0</v>
      </c>
      <c r="H3" s="3" t="n"/>
      <c r="I3" s="2">
        <f>IF(H3&lt;&gt;"",E3-H3,"")</f>
        <v/>
      </c>
      <c r="J3" s="4">
        <f>IF(H3&lt;&gt;"",I3/H3,"")</f>
        <v/>
      </c>
    </row>
    <row r="4">
      <c r="A4" t="n">
        <v>3</v>
      </c>
      <c r="B4" t="inlineStr">
        <is>
          <t>Whatnot</t>
        </is>
      </c>
      <c r="C4" t="inlineStr">
        <is>
          <t>2024 Bowman Chrome Draft Black Refractor Sam Antonacci PROSPECT AUTO 1/10 #CPA-SA CGC AUTH</t>
        </is>
      </c>
      <c r="D4" t="inlineStr">
        <is>
          <t>2026-03-22</t>
        </is>
      </c>
      <c r="E4" s="2" t="n">
        <v>877.0000000000001</v>
      </c>
      <c r="G4" s="2" t="n">
        <v>0</v>
      </c>
      <c r="H4" s="3" t="n"/>
      <c r="I4" s="2">
        <f>IF(H4&lt;&gt;"",E4-H4,"")</f>
        <v/>
      </c>
      <c r="J4" s="4">
        <f>IF(H4&lt;&gt;"",I4/H4,"")</f>
        <v/>
      </c>
    </row>
    <row r="5">
      <c r="A5" t="n">
        <v>4</v>
      </c>
      <c r="B5" t="inlineStr">
        <is>
          <t>Whatnot</t>
        </is>
      </c>
      <c r="C5" t="inlineStr">
        <is>
          <t>2024 Panini Flawless Mastercraft Jayson Tatum PATCH /5 #MC-JYT CGC AUTH</t>
        </is>
      </c>
      <c r="D5" t="inlineStr">
        <is>
          <t>2026-03-29</t>
        </is>
      </c>
      <c r="E5" s="2" t="n">
        <v>822.0000000000001</v>
      </c>
      <c r="G5" s="2" t="n">
        <v>0</v>
      </c>
      <c r="H5" s="3" t="n"/>
      <c r="I5" s="2">
        <f>IF(H5&lt;&gt;"",E5-H5,"")</f>
        <v/>
      </c>
      <c r="J5" s="4">
        <f>IF(H5&lt;&gt;"",I5/H5,"")</f>
        <v/>
      </c>
    </row>
    <row r="6">
      <c r="A6" t="n">
        <v>5</v>
      </c>
      <c r="B6" t="inlineStr">
        <is>
          <t>Whatnot</t>
        </is>
      </c>
      <c r="C6" t="inlineStr">
        <is>
          <t>2024 Topps Transcendent Collection Showcase Blue Paul Skenes ROOKIE AUTO /10 #RSA-PS</t>
        </is>
      </c>
      <c r="D6" t="inlineStr">
        <is>
          <t>2026-02-21</t>
        </is>
      </c>
      <c r="E6" s="2" t="n">
        <v>770.0000000000001</v>
      </c>
      <c r="G6" s="2" t="n">
        <v>0</v>
      </c>
      <c r="H6" s="3" t="n"/>
      <c r="I6" s="2">
        <f>IF(H6&lt;&gt;"",E6-H6,"")</f>
        <v/>
      </c>
      <c r="J6" s="4">
        <f>IF(H6&lt;&gt;"",I6/H6,"")</f>
        <v/>
      </c>
    </row>
    <row r="7">
      <c r="A7" t="n">
        <v>6</v>
      </c>
      <c r="B7" t="inlineStr">
        <is>
          <t>Whatnot</t>
        </is>
      </c>
      <c r="C7" t="inlineStr">
        <is>
          <t>2022 National Treasures Clutch Factor '25 Black Box Paolo Banchero ROOKIE PATCH AUTO 1/1</t>
        </is>
      </c>
      <c r="D7" t="inlineStr">
        <is>
          <t>2026-02-21</t>
        </is>
      </c>
      <c r="E7" s="2" t="n">
        <v>605</v>
      </c>
      <c r="G7" s="2" t="n">
        <v>0</v>
      </c>
      <c r="H7" s="3" t="n"/>
      <c r="I7" s="2">
        <f>IF(H7&lt;&gt;"",E7-H7,"")</f>
        <v/>
      </c>
      <c r="J7" s="4">
        <f>IF(H7&lt;&gt;"",I7/H7,"")</f>
        <v/>
      </c>
    </row>
    <row r="8">
      <c r="A8" t="n">
        <v>7</v>
      </c>
      <c r="B8" t="inlineStr">
        <is>
          <t>Whatnot</t>
        </is>
      </c>
      <c r="C8" t="inlineStr">
        <is>
          <t>2023 Topps Dynasty Silver Vladimir Guerrero Jr. PATCH AUTO /5 #DAPB-VGJ1</t>
        </is>
      </c>
      <c r="D8" t="inlineStr">
        <is>
          <t>2026-02-21</t>
        </is>
      </c>
      <c r="E8" s="2" t="n">
        <v>506.0000000000001</v>
      </c>
      <c r="G8" s="2" t="n">
        <v>0</v>
      </c>
      <c r="H8" s="3" t="n"/>
      <c r="I8" s="2">
        <f>IF(H8&lt;&gt;"",E8-H8,"")</f>
        <v/>
      </c>
      <c r="J8" s="4">
        <f>IF(H8&lt;&gt;"",I8/H8,"")</f>
        <v/>
      </c>
    </row>
    <row r="9">
      <c r="A9" t="n">
        <v>8</v>
      </c>
      <c r="B9" t="inlineStr">
        <is>
          <t>Whatnot</t>
        </is>
      </c>
      <c r="C9" t="inlineStr">
        <is>
          <t>2024 Bowman University Best Greatness Awaits Gold Geometric Kon Knueppel RC AUTO /50 CGC AUTH</t>
        </is>
      </c>
      <c r="D9" t="inlineStr">
        <is>
          <t>2026-03-01</t>
        </is>
      </c>
      <c r="E9" s="2" t="n">
        <v>349</v>
      </c>
      <c r="G9" s="2" t="n">
        <v>0</v>
      </c>
      <c r="H9" s="3" t="n"/>
      <c r="I9" s="2">
        <f>IF(H9&lt;&gt;"",E9-H9,"")</f>
        <v/>
      </c>
      <c r="J9" s="4">
        <f>IF(H9&lt;&gt;"",I9/H9,"")</f>
        <v/>
      </c>
    </row>
    <row r="10">
      <c r="A10" t="n">
        <v>9</v>
      </c>
      <c r="B10" t="inlineStr">
        <is>
          <t>Whatnot</t>
        </is>
      </c>
      <c r="C10" t="inlineStr">
        <is>
          <t>2025 Bowman Chrome Yellow Refractor Charlie Condon PROSPECT AUTO /75 #CPA-CC CGC AUTH</t>
        </is>
      </c>
      <c r="D10" t="inlineStr">
        <is>
          <t>2026-04-12</t>
        </is>
      </c>
      <c r="E10" s="2" t="n">
        <v>349</v>
      </c>
      <c r="G10" s="2" t="n">
        <v>0</v>
      </c>
      <c r="H10" s="3" t="n"/>
      <c r="I10" s="2">
        <f>IF(H10&lt;&gt;"",E10-H10,"")</f>
        <v/>
      </c>
      <c r="J10" s="4">
        <f>IF(H10&lt;&gt;"",I10/H10,"")</f>
        <v/>
      </c>
    </row>
    <row r="11">
      <c r="A11" t="n">
        <v>10</v>
      </c>
      <c r="B11" t="inlineStr">
        <is>
          <t>Whatnot</t>
        </is>
      </c>
      <c r="C11" t="inlineStr">
        <is>
          <t>2021 Select Black Snakeskin Pulsar Bones Hyland ROOKIE PATCH AUTO 1/1 #RJ-BHY CGC AUTH</t>
        </is>
      </c>
      <c r="D11" t="inlineStr">
        <is>
          <t>2026-02-21</t>
        </is>
      </c>
      <c r="E11" s="2" t="n">
        <v>338</v>
      </c>
      <c r="G11" s="2" t="n">
        <v>0</v>
      </c>
      <c r="H11" s="3" t="n"/>
      <c r="I11" s="2">
        <f>IF(H11&lt;&gt;"",E11-H11,"")</f>
        <v/>
      </c>
      <c r="J11" s="4">
        <f>IF(H11&lt;&gt;"",I11/H11,"")</f>
        <v/>
      </c>
    </row>
    <row r="12">
      <c r="A12" t="n">
        <v>11</v>
      </c>
      <c r="B12" t="inlineStr">
        <is>
          <t>Whatnot</t>
        </is>
      </c>
      <c r="C12" t="inlineStr">
        <is>
          <t>2021 Immaculate Collection Massive Memorabilia Cade Cunningham ROOKIE PATCH 25/25 CGC AUTH</t>
        </is>
      </c>
      <c r="D12" t="inlineStr">
        <is>
          <t>2026-02-21</t>
        </is>
      </c>
      <c r="E12" s="2" t="n">
        <v>305</v>
      </c>
      <c r="G12" s="2" t="n">
        <v>0</v>
      </c>
      <c r="H12" s="3" t="n"/>
      <c r="I12" s="2">
        <f>IF(H12&lt;&gt;"",E12-H12,"")</f>
        <v/>
      </c>
      <c r="J12" s="4">
        <f>IF(H12&lt;&gt;"",I12/H12,"")</f>
        <v/>
      </c>
    </row>
    <row r="13">
      <c r="A13" t="n">
        <v>12</v>
      </c>
      <c r="B13" t="inlineStr">
        <is>
          <t>Whatnot</t>
        </is>
      </c>
      <c r="C13" t="inlineStr">
        <is>
          <t>2022 Panini One And One Purple Paolo Banchero ROOKIE PATCH AUTO 35/35 #RJA-PB5</t>
        </is>
      </c>
      <c r="D13" t="inlineStr">
        <is>
          <t>2026-02-21</t>
        </is>
      </c>
      <c r="E13" s="2" t="n">
        <v>286</v>
      </c>
      <c r="G13" s="2" t="n">
        <v>0</v>
      </c>
      <c r="H13" s="3" t="n"/>
      <c r="I13" s="2">
        <f>IF(H13&lt;&gt;"",E13-H13,"")</f>
        <v/>
      </c>
      <c r="J13" s="4">
        <f>IF(H13&lt;&gt;"",I13/H13,"")</f>
        <v/>
      </c>
    </row>
    <row r="14">
      <c r="A14" t="n">
        <v>13</v>
      </c>
      <c r="B14" t="inlineStr">
        <is>
          <t>Whatnot</t>
        </is>
      </c>
      <c r="C14" t="inlineStr">
        <is>
          <t>2024 Bowman University Best Possession Arrow Yellow Lazer Kon Knueppel AUTO /75 #PAAKK CGC AUTH</t>
        </is>
      </c>
      <c r="D14" t="inlineStr">
        <is>
          <t>2026-03-01</t>
        </is>
      </c>
      <c r="E14" s="2" t="n">
        <v>239</v>
      </c>
      <c r="G14" s="2" t="n">
        <v>0</v>
      </c>
      <c r="H14" s="3" t="n"/>
      <c r="I14" s="2">
        <f>IF(H14&lt;&gt;"",E14-H14,"")</f>
        <v/>
      </c>
      <c r="J14" s="4">
        <f>IF(H14&lt;&gt;"",I14/H14,"")</f>
        <v/>
      </c>
    </row>
    <row r="15">
      <c r="A15" t="n">
        <v>14</v>
      </c>
      <c r="B15" t="inlineStr">
        <is>
          <t>Whatnot</t>
        </is>
      </c>
      <c r="C15" t="inlineStr">
        <is>
          <t>2021 Panini One And One Red Alperen Sengun ROOKIE PATCH AUTO 25/25 #RJ-ASG</t>
        </is>
      </c>
      <c r="D15" t="inlineStr">
        <is>
          <t>2026-02-21</t>
        </is>
      </c>
      <c r="E15" s="2" t="n">
        <v>231</v>
      </c>
      <c r="G15" s="2" t="n">
        <v>0</v>
      </c>
      <c r="H15" s="3" t="n"/>
      <c r="I15" s="2">
        <f>IF(H15&lt;&gt;"",E15-H15,"")</f>
        <v/>
      </c>
      <c r="J15" s="4">
        <f>IF(H15&lt;&gt;"",I15/H15,"")</f>
        <v/>
      </c>
    </row>
    <row r="16">
      <c r="A16" t="n">
        <v>15</v>
      </c>
      <c r="B16" t="inlineStr">
        <is>
          <t>Whatnot</t>
        </is>
      </c>
      <c r="C16" t="inlineStr">
        <is>
          <t>2023 Panini Flawless Excellence Blue Donovan Mitchell AUTO /8 #ES-DMI CGC AUTH</t>
        </is>
      </c>
      <c r="D16" t="inlineStr">
        <is>
          <t>2026-03-01</t>
        </is>
      </c>
      <c r="E16" s="2" t="n">
        <v>217</v>
      </c>
      <c r="G16" s="2" t="n">
        <v>0</v>
      </c>
      <c r="H16" s="3" t="n"/>
      <c r="I16" s="2">
        <f>IF(H16&lt;&gt;"",E16-H16,"")</f>
        <v/>
      </c>
      <c r="J16" s="4">
        <f>IF(H16&lt;&gt;"",I16/H16,"")</f>
        <v/>
      </c>
    </row>
    <row r="17">
      <c r="A17" t="n">
        <v>16</v>
      </c>
      <c r="B17" t="inlineStr">
        <is>
          <t>Whatnot</t>
        </is>
      </c>
      <c r="C17" t="inlineStr">
        <is>
          <t>2024 Panini Flawless Prime Sapphire Bobby Witt Jr. PATCH AUTO /15 #PPH-BWJ</t>
        </is>
      </c>
      <c r="D17" t="inlineStr">
        <is>
          <t>2026-02-21</t>
        </is>
      </c>
      <c r="E17" s="2" t="n">
        <v>188.125</v>
      </c>
      <c r="G17" s="2" t="n">
        <v>0</v>
      </c>
      <c r="H17" s="3" t="n"/>
      <c r="I17" s="2">
        <f>IF(H17&lt;&gt;"",E17-H17,"")</f>
        <v/>
      </c>
      <c r="J17" s="4">
        <f>IF(H17&lt;&gt;"",I17/H17,"")</f>
        <v/>
      </c>
    </row>
    <row r="18">
      <c r="A18" t="n">
        <v>17</v>
      </c>
      <c r="B18" t="inlineStr">
        <is>
          <t>Whatnot</t>
        </is>
      </c>
      <c r="C18" t="inlineStr">
        <is>
          <t>2018 Panini The National VIP Prizm Cristiano Ronaldo /99 #94 PSA 10 GEM MINT</t>
        </is>
      </c>
      <c r="D18" t="inlineStr">
        <is>
          <t>2026-03-22</t>
        </is>
      </c>
      <c r="E18" s="2" t="n">
        <v>177.375</v>
      </c>
      <c r="G18" s="2" t="n">
        <v>0</v>
      </c>
      <c r="H18" s="3" t="n"/>
      <c r="I18" s="2">
        <f>IF(H18&lt;&gt;"",E18-H18,"")</f>
        <v/>
      </c>
      <c r="J18" s="4">
        <f>IF(H18&lt;&gt;"",I18/H18,"")</f>
        <v/>
      </c>
    </row>
    <row r="19">
      <c r="A19" t="n">
        <v>18</v>
      </c>
      <c r="B19" t="inlineStr">
        <is>
          <t>Whatnot</t>
        </is>
      </c>
      <c r="C19" t="inlineStr">
        <is>
          <t>2024 National Treasures Orange Ajay Mitchell ROOKIE PATCH AUTO /75 #148 CGC AUTH</t>
        </is>
      </c>
      <c r="D19" t="inlineStr">
        <is>
          <t>2026-02-21</t>
        </is>
      </c>
      <c r="E19" s="2" t="n">
        <v>169</v>
      </c>
      <c r="G19" s="2" t="n">
        <v>0</v>
      </c>
      <c r="H19" s="3" t="n"/>
      <c r="I19" s="2">
        <f>IF(H19&lt;&gt;"",E19-H19,"")</f>
        <v/>
      </c>
      <c r="J19" s="4">
        <f>IF(H19&lt;&gt;"",I19/H19,"")</f>
        <v/>
      </c>
    </row>
    <row r="20">
      <c r="A20" t="n">
        <v>19</v>
      </c>
      <c r="B20" t="inlineStr">
        <is>
          <t>Whatnot</t>
        </is>
      </c>
      <c r="C20" t="inlineStr">
        <is>
          <t>2024 Panini One And One FOTL Ajay Mitchell ROOKIE PATCH AUTO 1/15 #RJJ-AJY CGC AUTH</t>
        </is>
      </c>
      <c r="D20" t="inlineStr">
        <is>
          <t>2026-04-26</t>
        </is>
      </c>
      <c r="E20" s="2" t="n">
        <v>136.75</v>
      </c>
      <c r="G20" s="2" t="n">
        <v>0</v>
      </c>
      <c r="H20" s="3" t="n"/>
      <c r="I20" s="2">
        <f>IF(H20&lt;&gt;"",E20-H20,"")</f>
        <v/>
      </c>
      <c r="J20" s="4">
        <f>IF(H20&lt;&gt;"",I20/H20,"")</f>
        <v/>
      </c>
    </row>
    <row r="21">
      <c r="A21" t="n">
        <v>20</v>
      </c>
      <c r="B21" t="inlineStr">
        <is>
          <t>Whatnot</t>
        </is>
      </c>
      <c r="C21" t="inlineStr">
        <is>
          <t>2025 Topps '80-81 Silver Pack Gold Tracy McGrady AUTO /50 #80CA2-TMC CGC AUTH</t>
        </is>
      </c>
      <c r="D21" t="inlineStr">
        <is>
          <t>2026-02-21</t>
        </is>
      </c>
      <c r="E21" s="2" t="n">
        <v>131.38</v>
      </c>
      <c r="G21" s="2" t="n">
        <v>0</v>
      </c>
      <c r="H21" s="3" t="n"/>
      <c r="I21" s="2">
        <f>IF(H21&lt;&gt;"",E21-H21,"")</f>
        <v/>
      </c>
      <c r="J21" s="4">
        <f>IF(H21&lt;&gt;"",I21/H21,"")</f>
        <v/>
      </c>
    </row>
    <row r="22">
      <c r="A22" t="n">
        <v>21</v>
      </c>
      <c r="B22" t="inlineStr">
        <is>
          <t>Whatnot</t>
        </is>
      </c>
      <c r="C22" t="inlineStr">
        <is>
          <t>2024 Immaculate Collection Sneaker Swatches Gold Jared McCain ROOKIE PATCH AUTO /10 CGC AUTH</t>
        </is>
      </c>
      <c r="D22" t="inlineStr">
        <is>
          <t>2026-05-03</t>
        </is>
      </c>
      <c r="E22" s="2" t="n">
        <v>120.64</v>
      </c>
      <c r="G22" s="2" t="n">
        <v>0</v>
      </c>
      <c r="H22" s="3" t="n"/>
      <c r="I22" s="2">
        <f>IF(H22&lt;&gt;"",E22-H22,"")</f>
        <v/>
      </c>
      <c r="J22" s="4">
        <f>IF(H22&lt;&gt;"",I22/H22,"")</f>
        <v/>
      </c>
    </row>
    <row r="23">
      <c r="A23" t="n">
        <v>22</v>
      </c>
      <c r="B23" t="inlineStr">
        <is>
          <t>Whatnot</t>
        </is>
      </c>
      <c r="C23" t="inlineStr">
        <is>
          <t>2025 Topps Chrome Glass Canvas Jalen Brunson #GC-17 CGC AUTH</t>
        </is>
      </c>
      <c r="D23" t="inlineStr">
        <is>
          <t>2026-03-29</t>
        </is>
      </c>
      <c r="E23" s="2" t="n">
        <v>115.25</v>
      </c>
      <c r="G23" s="2" t="n">
        <v>0</v>
      </c>
      <c r="H23" s="3" t="n"/>
      <c r="I23" s="2">
        <f>IF(H23&lt;&gt;"",E23-H23,"")</f>
        <v/>
      </c>
      <c r="J23" s="4">
        <f>IF(H23&lt;&gt;"",I23/H23,"")</f>
        <v/>
      </c>
    </row>
    <row r="24">
      <c r="A24" t="n">
        <v>23</v>
      </c>
      <c r="B24" t="inlineStr">
        <is>
          <t>Whatnot</t>
        </is>
      </c>
      <c r="C24" t="inlineStr">
        <is>
          <t>2024 Immaculate Collection Immaculate Ink Gold John Stockton AUTO 10/10 #INK-JST CGC AUTH</t>
        </is>
      </c>
      <c r="D24" t="inlineStr">
        <is>
          <t>2026-02-21</t>
        </is>
      </c>
      <c r="E24" s="2" t="n">
        <v>104.5</v>
      </c>
      <c r="G24" s="2" t="n">
        <v>0</v>
      </c>
      <c r="H24" s="3" t="n"/>
      <c r="I24" s="2">
        <f>IF(H24&lt;&gt;"",E24-H24,"")</f>
        <v/>
      </c>
      <c r="J24" s="4">
        <f>IF(H24&lt;&gt;"",I24/H24,"")</f>
        <v/>
      </c>
    </row>
    <row r="25">
      <c r="A25" t="n">
        <v>24</v>
      </c>
      <c r="B25" t="inlineStr">
        <is>
          <t>Whatnot</t>
        </is>
      </c>
      <c r="C25" t="inlineStr">
        <is>
          <t>2025 Leaf Signature Series Aquatic Clownfish Lava Cameron Boozer ROOKIE AUTO 1/1 #ACB3 CGC AUTH</t>
        </is>
      </c>
      <c r="D25" t="inlineStr">
        <is>
          <t>2026-03-29</t>
        </is>
      </c>
      <c r="E25" s="2" t="n">
        <v>93.75</v>
      </c>
      <c r="G25" s="2" t="n">
        <v>0</v>
      </c>
      <c r="H25" s="3" t="n"/>
      <c r="I25" s="2">
        <f>IF(H25&lt;&gt;"",E25-H25,"")</f>
        <v/>
      </c>
      <c r="J25" s="4">
        <f>IF(H25&lt;&gt;"",I25/H25,"")</f>
        <v/>
      </c>
    </row>
    <row r="26">
      <c r="A26" t="n">
        <v>25</v>
      </c>
      <c r="B26" t="inlineStr">
        <is>
          <t>Whatnot</t>
        </is>
      </c>
      <c r="C26" t="inlineStr">
        <is>
          <t>2025 Topps Tier One Jumbo Ronald Acuna Jr. PATCH AUTO /75 #AJR-RA CGC AUTH</t>
        </is>
      </c>
      <c r="D26" t="inlineStr">
        <is>
          <t>2026-02-21</t>
        </is>
      </c>
      <c r="E26" s="2" t="n">
        <v>91.59999999999999</v>
      </c>
      <c r="G26" s="2" t="n">
        <v>0</v>
      </c>
      <c r="H26" s="3" t="n"/>
      <c r="I26" s="2">
        <f>IF(H26&lt;&gt;"",E26-H26,"")</f>
        <v/>
      </c>
      <c r="J26" s="4">
        <f>IF(H26&lt;&gt;"",I26/H26,"")</f>
        <v/>
      </c>
    </row>
    <row r="27">
      <c r="A27" t="n">
        <v>26</v>
      </c>
      <c r="B27" t="inlineStr">
        <is>
          <t>Whatnot</t>
        </is>
      </c>
      <c r="C27" t="inlineStr">
        <is>
          <t>2024 Immaculate Collection Dual Bronny James Jr. LeBron James PATCH /99 #IDM-BJJ CGC AUTH</t>
        </is>
      </c>
      <c r="D27" t="inlineStr">
        <is>
          <t>2026-02-21</t>
        </is>
      </c>
      <c r="E27" s="2" t="n">
        <v>91.59999999999999</v>
      </c>
      <c r="G27" s="2" t="n">
        <v>0</v>
      </c>
      <c r="H27" s="3" t="n"/>
      <c r="I27" s="2">
        <f>IF(H27&lt;&gt;"",E27-H27,"")</f>
        <v/>
      </c>
      <c r="J27" s="4">
        <f>IF(H27&lt;&gt;"",I27/H27,"")</f>
        <v/>
      </c>
    </row>
    <row r="28">
      <c r="A28" t="n">
        <v>27</v>
      </c>
      <c r="B28" t="inlineStr">
        <is>
          <t>Whatnot</t>
        </is>
      </c>
      <c r="C28" t="inlineStr">
        <is>
          <t>2020 National Treasures Daniel Oturu ROOKIE NBA LOGOMAN PATCH 1/5 #RLO-DOT CGC AUTH</t>
        </is>
      </c>
      <c r="D28" t="inlineStr">
        <is>
          <t>2026-03-01</t>
        </is>
      </c>
      <c r="E28" s="2" t="n">
        <v>91.59999999999999</v>
      </c>
      <c r="G28" s="2" t="n">
        <v>0</v>
      </c>
      <c r="H28" s="3" t="n"/>
      <c r="I28" s="2">
        <f>IF(H28&lt;&gt;"",E28-H28,"")</f>
        <v/>
      </c>
      <c r="J28" s="4">
        <f>IF(H28&lt;&gt;"",I28/H28,"")</f>
        <v/>
      </c>
    </row>
    <row r="29">
      <c r="A29" t="n">
        <v>28</v>
      </c>
      <c r="B29" t="inlineStr">
        <is>
          <t>Whatnot</t>
        </is>
      </c>
      <c r="C29" t="inlineStr">
        <is>
          <t>2010 Crown Royale National Convention VIP Kobe Bryant #VIP1 CGC AUTH</t>
        </is>
      </c>
      <c r="D29" t="inlineStr">
        <is>
          <t>2026-03-22</t>
        </is>
      </c>
      <c r="E29" s="2" t="n">
        <v>87.3</v>
      </c>
      <c r="G29" s="2" t="n">
        <v>0</v>
      </c>
      <c r="H29" s="3" t="n"/>
      <c r="I29" s="2">
        <f>IF(H29&lt;&gt;"",E29-H29,"")</f>
        <v/>
      </c>
      <c r="J29" s="4">
        <f>IF(H29&lt;&gt;"",I29/H29,"")</f>
        <v/>
      </c>
    </row>
    <row r="30">
      <c r="A30" t="n">
        <v>29</v>
      </c>
      <c r="B30" t="inlineStr">
        <is>
          <t>Whatnot</t>
        </is>
      </c>
      <c r="C30" t="inlineStr">
        <is>
          <t>2025 Leaf Baseball Nation MILB Top 100 Pink Sparkle Trey Yesavage ROOKIE AUTO 1/1 CGC AUTH</t>
        </is>
      </c>
      <c r="D30" t="inlineStr">
        <is>
          <t>2026-03-22</t>
        </is>
      </c>
      <c r="E30" s="2" t="n">
        <v>85.14999999999999</v>
      </c>
      <c r="G30" s="2" t="n">
        <v>0</v>
      </c>
      <c r="H30" s="3" t="n"/>
      <c r="I30" s="2">
        <f>IF(H30&lt;&gt;"",E30-H30,"")</f>
        <v/>
      </c>
      <c r="J30" s="4">
        <f>IF(H30&lt;&gt;"",I30/H30,"")</f>
        <v/>
      </c>
    </row>
    <row r="31">
      <c r="A31" t="n">
        <v>30</v>
      </c>
      <c r="B31" t="inlineStr">
        <is>
          <t>Whatnot</t>
        </is>
      </c>
      <c r="C31" t="inlineStr">
        <is>
          <t>2021 Panini Instant Clear Vision Evan Mobley ROOKIE PATCH AUTO 10/10 #CV-3</t>
        </is>
      </c>
      <c r="D31" t="inlineStr">
        <is>
          <t>2026-02-21</t>
        </is>
      </c>
      <c r="E31" s="2" t="n">
        <v>79.55</v>
      </c>
      <c r="G31" s="2" t="n">
        <v>0</v>
      </c>
      <c r="H31" s="3" t="n"/>
      <c r="I31" s="2">
        <f>IF(H31&lt;&gt;"",E31-H31,"")</f>
        <v/>
      </c>
      <c r="J31" s="4">
        <f>IF(H31&lt;&gt;"",I31/H31,"")</f>
        <v/>
      </c>
    </row>
    <row r="32">
      <c r="A32" t="n">
        <v>31</v>
      </c>
      <c r="B32" t="inlineStr">
        <is>
          <t>Whatnot</t>
        </is>
      </c>
      <c r="C32" t="inlineStr">
        <is>
          <t>2020 Immaculate Collection Remarkable Dual Anthony Edwards James Wiseman RC PATCH /75 CGC AUTH</t>
        </is>
      </c>
      <c r="D32" t="inlineStr">
        <is>
          <t>2026-03-22</t>
        </is>
      </c>
      <c r="E32" s="2" t="n">
        <v>74.39999999999999</v>
      </c>
      <c r="G32" s="2" t="n">
        <v>0</v>
      </c>
      <c r="H32" s="3" t="n"/>
      <c r="I32" s="2">
        <f>IF(H32&lt;&gt;"",E32-H32,"")</f>
        <v/>
      </c>
      <c r="J32" s="4">
        <f>IF(H32&lt;&gt;"",I32/H32,"")</f>
        <v/>
      </c>
    </row>
    <row r="33">
      <c r="A33" t="n">
        <v>32</v>
      </c>
      <c r="B33" t="inlineStr">
        <is>
          <t>Whatnot</t>
        </is>
      </c>
      <c r="C33" t="inlineStr">
        <is>
          <t>2022 Immaculate Collection Scorers Club Hakeem Olajuwon AUTO /49 #SCS-HOW CGC AUTH</t>
        </is>
      </c>
      <c r="D33" t="inlineStr">
        <is>
          <t>2026-03-22</t>
        </is>
      </c>
      <c r="E33" s="2" t="n">
        <v>72.25</v>
      </c>
      <c r="G33" s="2" t="n">
        <v>0</v>
      </c>
      <c r="H33" s="3" t="n"/>
      <c r="I33" s="2">
        <f>IF(H33&lt;&gt;"",E33-H33,"")</f>
        <v/>
      </c>
      <c r="J33" s="4">
        <f>IF(H33&lt;&gt;"",I33/H33,"")</f>
        <v/>
      </c>
    </row>
    <row r="34">
      <c r="A34" t="n">
        <v>33</v>
      </c>
      <c r="B34" t="inlineStr">
        <is>
          <t>Whatnot</t>
        </is>
      </c>
      <c r="C34" t="inlineStr">
        <is>
          <t>2025 Topps Chrome Rock Stars Die-Cut Ace Bailey ROOKIE #RS-20 CGC AUTH</t>
        </is>
      </c>
      <c r="D34" t="inlineStr">
        <is>
          <t>2026-03-22</t>
        </is>
      </c>
      <c r="E34" s="2" t="n">
        <v>70.09999999999999</v>
      </c>
      <c r="G34" s="2" t="n">
        <v>0</v>
      </c>
      <c r="H34" s="3" t="n"/>
      <c r="I34" s="2">
        <f>IF(H34&lt;&gt;"",E34-H34,"")</f>
        <v/>
      </c>
      <c r="J34" s="4">
        <f>IF(H34&lt;&gt;"",I34/H34,"")</f>
        <v/>
      </c>
    </row>
    <row r="35">
      <c r="A35" t="n">
        <v>34</v>
      </c>
      <c r="B35" t="inlineStr">
        <is>
          <t>Whatnot</t>
        </is>
      </c>
      <c r="C35" t="inlineStr">
        <is>
          <t>2024 Panini Photogenic Dual Gold Yuki Kawamura &amp; Yongxi Cui ROOKIE AUTO JERSEY # 8/10 CGC AUTH</t>
        </is>
      </c>
      <c r="D35" t="inlineStr">
        <is>
          <t>2026-03-22</t>
        </is>
      </c>
      <c r="E35" s="2" t="n">
        <v>70.09999999999999</v>
      </c>
      <c r="G35" s="2" t="n">
        <v>0</v>
      </c>
      <c r="H35" s="3" t="n"/>
      <c r="I35" s="2">
        <f>IF(H35&lt;&gt;"",E35-H35,"")</f>
        <v/>
      </c>
      <c r="J35" s="4">
        <f>IF(H35&lt;&gt;"",I35/H35,"")</f>
        <v/>
      </c>
    </row>
    <row r="36">
      <c r="A36" t="n">
        <v>35</v>
      </c>
      <c r="B36" t="inlineStr">
        <is>
          <t>Whatnot</t>
        </is>
      </c>
      <c r="C36" t="inlineStr">
        <is>
          <t>2025 Topps Chrome Issue Ace Bailey ROOKIE AUTO #TAIR-AB CGC AUTH</t>
        </is>
      </c>
      <c r="D36" t="inlineStr">
        <is>
          <t>2026-03-29</t>
        </is>
      </c>
      <c r="E36" s="2" t="n">
        <v>67.95</v>
      </c>
      <c r="G36" s="2" t="n">
        <v>0</v>
      </c>
      <c r="H36" s="3" t="n"/>
      <c r="I36" s="2">
        <f>IF(H36&lt;&gt;"",E36-H36,"")</f>
        <v/>
      </c>
      <c r="J36" s="4">
        <f>IF(H36&lt;&gt;"",I36/H36,"")</f>
        <v/>
      </c>
    </row>
    <row r="37">
      <c r="A37" t="n">
        <v>36</v>
      </c>
      <c r="B37" t="inlineStr">
        <is>
          <t>Whatnot</t>
        </is>
      </c>
      <c r="C37" t="inlineStr">
        <is>
          <t>2025 Leaf Metal Independence Day Patriotic Marine Corps War Memorial Cameron Boozer RC AUTO 1/1</t>
        </is>
      </c>
      <c r="D37" t="inlineStr">
        <is>
          <t>2026-03-22</t>
        </is>
      </c>
      <c r="E37" s="2" t="n">
        <v>66.64999999999999</v>
      </c>
      <c r="G37" s="2" t="n">
        <v>0</v>
      </c>
      <c r="H37" s="3" t="n"/>
      <c r="I37" s="2">
        <f>IF(H37&lt;&gt;"",E37-H37,"")</f>
        <v/>
      </c>
      <c r="J37" s="4">
        <f>IF(H37&lt;&gt;"",I37/H37,"")</f>
        <v/>
      </c>
    </row>
    <row r="38">
      <c r="A38" t="n">
        <v>37</v>
      </c>
      <c r="B38" t="inlineStr">
        <is>
          <t>Whatnot</t>
        </is>
      </c>
      <c r="C38" t="inlineStr">
        <is>
          <t>2023 Super Glow Marvin Harrison Jr. AUTO #MHJ-1 CGC AUTH</t>
        </is>
      </c>
      <c r="D38" t="inlineStr">
        <is>
          <t>2026-05-03</t>
        </is>
      </c>
      <c r="E38" s="2" t="n">
        <v>65.8</v>
      </c>
      <c r="G38" s="2" t="n">
        <v>0</v>
      </c>
      <c r="H38" s="3" t="n"/>
      <c r="I38" s="2">
        <f>IF(H38&lt;&gt;"",E38-H38,"")</f>
        <v/>
      </c>
      <c r="J38" s="4">
        <f>IF(H38&lt;&gt;"",I38/H38,"")</f>
        <v/>
      </c>
    </row>
    <row r="39">
      <c r="A39" t="n">
        <v>38</v>
      </c>
      <c r="B39" t="inlineStr">
        <is>
          <t>Whatnot</t>
        </is>
      </c>
      <c r="C39" t="inlineStr">
        <is>
          <t>2019 Panini Chronicles Contenders Season Ticket Red Vladimir Guerrero Jr. RC AUTO /50 CGC AUTH</t>
        </is>
      </c>
      <c r="D39" t="inlineStr">
        <is>
          <t>2026-04-19</t>
        </is>
      </c>
      <c r="E39" s="2" t="n">
        <v>64.2</v>
      </c>
      <c r="G39" s="2" t="n">
        <v>0</v>
      </c>
      <c r="H39" s="3" t="n"/>
      <c r="I39" s="2">
        <f>IF(H39&lt;&gt;"",E39-H39,"")</f>
        <v/>
      </c>
      <c r="J39" s="4">
        <f>IF(H39&lt;&gt;"",I39/H39,"")</f>
        <v/>
      </c>
    </row>
    <row r="40">
      <c r="A40" t="n">
        <v>39</v>
      </c>
      <c r="B40" t="inlineStr">
        <is>
          <t>Whatnot</t>
        </is>
      </c>
      <c r="C40" t="inlineStr">
        <is>
          <t>2025 Topps Chrome Blue Refractor Will Riley ROOKIE AUTO /150 #TCAR-WR CGC AUTH</t>
        </is>
      </c>
      <c r="D40" t="inlineStr">
        <is>
          <t>2026-03-22</t>
        </is>
      </c>
      <c r="E40" s="2" t="n">
        <v>63.64999999999999</v>
      </c>
      <c r="G40" s="2" t="n">
        <v>0</v>
      </c>
      <c r="H40" s="3" t="n"/>
      <c r="I40" s="2">
        <f>IF(H40&lt;&gt;"",E40-H40,"")</f>
        <v/>
      </c>
      <c r="J40" s="4">
        <f>IF(H40&lt;&gt;"",I40/H40,"")</f>
        <v/>
      </c>
    </row>
    <row r="41">
      <c r="A41" t="n">
        <v>40</v>
      </c>
      <c r="B41" t="inlineStr">
        <is>
          <t>Whatnot</t>
        </is>
      </c>
      <c r="C41" t="inlineStr">
        <is>
          <t>2024 Panini Obsidian Cutting Edge Electric Etch Orange Flood Stephen Curry PATCH /99 CGC AUTH</t>
        </is>
      </c>
      <c r="D41" t="inlineStr">
        <is>
          <t>2026-03-29</t>
        </is>
      </c>
      <c r="E41" s="2" t="n">
        <v>61.5</v>
      </c>
      <c r="G41" s="2" t="n">
        <v>0</v>
      </c>
      <c r="H41" s="3" t="n"/>
      <c r="I41" s="2">
        <f>IF(H41&lt;&gt;"",E41-H41,"")</f>
        <v/>
      </c>
      <c r="J41" s="4">
        <f>IF(H41&lt;&gt;"",I41/H41,"")</f>
        <v/>
      </c>
    </row>
    <row r="42">
      <c r="A42" t="n">
        <v>41</v>
      </c>
      <c r="B42" t="inlineStr">
        <is>
          <t>Whatnot</t>
        </is>
      </c>
      <c r="C42" t="inlineStr">
        <is>
          <t>2024 Immaculate Collection The Standard Gold Christian Pulisic PATCH 1/10 #TS-CP CGC AUTH</t>
        </is>
      </c>
      <c r="D42" t="inlineStr">
        <is>
          <t>2026-02-21</t>
        </is>
      </c>
      <c r="E42" s="2" t="n">
        <v>52.9</v>
      </c>
      <c r="G42" s="2" t="n">
        <v>0</v>
      </c>
      <c r="H42" s="3" t="n"/>
      <c r="I42" s="2">
        <f>IF(H42&lt;&gt;"",E42-H42,"")</f>
        <v/>
      </c>
      <c r="J42" s="4">
        <f>IF(H42&lt;&gt;"",I42/H42,"")</f>
        <v/>
      </c>
    </row>
    <row r="43">
      <c r="A43" t="n">
        <v>42</v>
      </c>
      <c r="B43" t="inlineStr">
        <is>
          <t>Whatnot</t>
        </is>
      </c>
      <c r="C43" t="inlineStr">
        <is>
          <t>2025 Topps Chrome Orange Geometric Refractor Walter Clayton Jr. ROOKIE AUTO /25 CGC AUTH</t>
        </is>
      </c>
      <c r="D43" t="inlineStr">
        <is>
          <t>2026-03-22</t>
        </is>
      </c>
      <c r="E43" s="2" t="n">
        <v>52.9</v>
      </c>
      <c r="G43" s="2" t="n">
        <v>0</v>
      </c>
      <c r="H43" s="3" t="n"/>
      <c r="I43" s="2">
        <f>IF(H43&lt;&gt;"",E43-H43,"")</f>
        <v/>
      </c>
      <c r="J43" s="4">
        <f>IF(H43&lt;&gt;"",I43/H43,"")</f>
        <v/>
      </c>
    </row>
    <row r="44">
      <c r="A44" t="n">
        <v>43</v>
      </c>
      <c r="B44" t="inlineStr">
        <is>
          <t>Whatnot</t>
        </is>
      </c>
      <c r="C44" t="inlineStr">
        <is>
          <t>2025 Topps Chrome Tall Tales Green Geometric Refractor LeBron James /99 #TT-7 CGC AUTH</t>
        </is>
      </c>
      <c r="D44" t="inlineStr">
        <is>
          <t>2026-03-29</t>
        </is>
      </c>
      <c r="E44" s="2" t="n">
        <v>52.9</v>
      </c>
      <c r="G44" s="2" t="n">
        <v>0</v>
      </c>
      <c r="H44" s="3" t="n"/>
      <c r="I44" s="2">
        <f>IF(H44&lt;&gt;"",E44-H44,"")</f>
        <v/>
      </c>
      <c r="J44" s="4">
        <f>IF(H44&lt;&gt;"",I44/H44,"")</f>
        <v/>
      </c>
    </row>
    <row r="45">
      <c r="A45" t="n">
        <v>44</v>
      </c>
      <c r="B45" t="inlineStr">
        <is>
          <t>Whatnot</t>
        </is>
      </c>
      <c r="C45" t="inlineStr">
        <is>
          <t>2025 Topps Chrome Geometric Refractor Will Riley ROOKIE AUTO #TCAR-WR CGC AUTH</t>
        </is>
      </c>
      <c r="D45" t="inlineStr">
        <is>
          <t>2026-03-29</t>
        </is>
      </c>
      <c r="E45" s="2" t="n">
        <v>50.75</v>
      </c>
      <c r="G45" s="2" t="n">
        <v>0</v>
      </c>
      <c r="H45" s="3" t="n"/>
      <c r="I45" s="2">
        <f>IF(H45&lt;&gt;"",E45-H45,"")</f>
        <v/>
      </c>
      <c r="J45" s="4">
        <f>IF(H45&lt;&gt;"",I45/H45,"")</f>
        <v/>
      </c>
    </row>
    <row r="46">
      <c r="A46" t="n">
        <v>45</v>
      </c>
      <c r="B46" t="inlineStr">
        <is>
          <t>Whatnot</t>
        </is>
      </c>
      <c r="C46" t="inlineStr">
        <is>
          <t>2024 Topps Chrome UEFA CC Gold Refractor Antoine Griezmann AUTO /50 CGC AUTH</t>
        </is>
      </c>
      <c r="D46" t="inlineStr">
        <is>
          <t>2026-02-21</t>
        </is>
      </c>
      <c r="E46" s="2" t="n">
        <v>48.45</v>
      </c>
      <c r="G46" s="2" t="n">
        <v>0</v>
      </c>
      <c r="H46" s="3" t="n"/>
      <c r="I46" s="2">
        <f>IF(H46&lt;&gt;"",E46-H46,"")</f>
        <v/>
      </c>
      <c r="J46" s="4">
        <f>IF(H46&lt;&gt;"",I46/H46,"")</f>
        <v/>
      </c>
    </row>
    <row r="47">
      <c r="A47" t="n">
        <v>46</v>
      </c>
      <c r="B47" t="inlineStr">
        <is>
          <t>Whatnot</t>
        </is>
      </c>
      <c r="C47" t="inlineStr">
        <is>
          <t>2022 Panini Flawless Collegiate Prime Gold Jabari Smith Jr. ROOKIE PATCH AUTO /10 #PM-JSM</t>
        </is>
      </c>
      <c r="D47" t="inlineStr">
        <is>
          <t>2026-02-21</t>
        </is>
      </c>
      <c r="E47" s="2" t="n">
        <v>47.25</v>
      </c>
      <c r="G47" s="2" t="n">
        <v>0</v>
      </c>
      <c r="H47" s="3" t="n"/>
      <c r="I47" s="2">
        <f>IF(H47&lt;&gt;"",E47-H47,"")</f>
        <v/>
      </c>
      <c r="J47" s="4">
        <f>IF(H47&lt;&gt;"",I47/H47,"")</f>
        <v/>
      </c>
    </row>
    <row r="48">
      <c r="A48" t="n">
        <v>47</v>
      </c>
      <c r="B48" t="inlineStr">
        <is>
          <t>Whatnot</t>
        </is>
      </c>
      <c r="C48" t="inlineStr">
        <is>
          <t>2025 Topps Chrome Chromographs Orange Refractor Jalen Williams AUTO /25 #CH-JW CGC AUTH</t>
        </is>
      </c>
      <c r="D48" t="inlineStr">
        <is>
          <t>2026-03-01</t>
        </is>
      </c>
      <c r="E48" s="2" t="n">
        <v>45.3</v>
      </c>
      <c r="G48" s="2" t="n">
        <v>0</v>
      </c>
      <c r="H48" s="3" t="n"/>
      <c r="I48" s="2">
        <f>IF(H48&lt;&gt;"",E48-H48,"")</f>
        <v/>
      </c>
      <c r="J48" s="4">
        <f>IF(H48&lt;&gt;"",I48/H48,"")</f>
        <v/>
      </c>
    </row>
    <row r="49">
      <c r="A49" t="n">
        <v>48</v>
      </c>
      <c r="B49" t="inlineStr">
        <is>
          <t>Whatnot</t>
        </is>
      </c>
      <c r="C49" t="inlineStr">
        <is>
          <t>2022 Panini Court Kings Heir Apparent Ruby Jalen Williams ROOKIE AUTO /99 #HA-JWT CGC AUTH</t>
        </is>
      </c>
      <c r="D49" t="inlineStr">
        <is>
          <t>2026-02-21</t>
        </is>
      </c>
      <c r="E49" s="2" t="n">
        <v>44.25</v>
      </c>
      <c r="G49" s="2" t="n">
        <v>0</v>
      </c>
      <c r="H49" s="3" t="n"/>
      <c r="I49" s="2">
        <f>IF(H49&lt;&gt;"",E49-H49,"")</f>
        <v/>
      </c>
      <c r="J49" s="4">
        <f>IF(H49&lt;&gt;"",I49/H49,"")</f>
        <v/>
      </c>
    </row>
    <row r="50">
      <c r="A50" t="n">
        <v>49</v>
      </c>
      <c r="B50" t="inlineStr">
        <is>
          <t>Whatnot</t>
        </is>
      </c>
      <c r="C50" t="inlineStr">
        <is>
          <t>2017 Donruss Optic Stephen Curry #46 PSA 10 GEM MINT</t>
        </is>
      </c>
      <c r="D50" t="inlineStr">
        <is>
          <t>2026-03-29</t>
        </is>
      </c>
      <c r="E50" s="2" t="n">
        <v>44.25</v>
      </c>
      <c r="G50" s="2" t="n">
        <v>0</v>
      </c>
      <c r="H50" s="3" t="n"/>
      <c r="I50" s="2">
        <f>IF(H50&lt;&gt;"",E50-H50,"")</f>
        <v/>
      </c>
      <c r="J50" s="4">
        <f>IF(H50&lt;&gt;"",I50/H50,"")</f>
        <v/>
      </c>
    </row>
    <row r="51">
      <c r="A51" t="n">
        <v>50</v>
      </c>
      <c r="B51" t="inlineStr">
        <is>
          <t>Whatnot</t>
        </is>
      </c>
      <c r="C51" t="inlineStr">
        <is>
          <t>2025 Topps Chrome Rock Stars Jayson Tatum #RS-1 CGC AUTH</t>
        </is>
      </c>
      <c r="D51" t="inlineStr">
        <is>
          <t>2026-05-03</t>
        </is>
      </c>
      <c r="E51" s="2" t="n">
        <v>43.2</v>
      </c>
      <c r="G51" s="2" t="n">
        <v>0</v>
      </c>
      <c r="H51" s="3" t="n"/>
      <c r="I51" s="2">
        <f>IF(H51&lt;&gt;"",E51-H51,"")</f>
        <v/>
      </c>
      <c r="J51" s="4">
        <f>IF(H51&lt;&gt;"",I51/H51,"")</f>
        <v/>
      </c>
    </row>
    <row r="52">
      <c r="A52" t="n">
        <v>51</v>
      </c>
      <c r="B52" t="inlineStr">
        <is>
          <t>Whatnot</t>
        </is>
      </c>
      <c r="C52" t="inlineStr">
        <is>
          <t>2025 Topps Chrome Update All-Star Game Gold Refractor Elly De La Cruz /50 #ASGC-32 CGC AUTH</t>
        </is>
      </c>
      <c r="D52" t="inlineStr">
        <is>
          <t>2026-04-12</t>
        </is>
      </c>
      <c r="E52" s="2" t="n">
        <v>40.05</v>
      </c>
      <c r="G52" s="2" t="n">
        <v>0</v>
      </c>
      <c r="H52" s="3" t="n"/>
      <c r="I52" s="2">
        <f>IF(H52&lt;&gt;"",E52-H52,"")</f>
        <v/>
      </c>
      <c r="J52" s="4">
        <f>IF(H52&lt;&gt;"",I52/H52,"")</f>
        <v/>
      </c>
    </row>
    <row r="53">
      <c r="A53" t="n">
        <v>52</v>
      </c>
      <c r="B53" t="inlineStr">
        <is>
          <t>Whatnot</t>
        </is>
      </c>
      <c r="C53" t="inlineStr">
        <is>
          <t>2025 Topps Chrome Tall Tales Orange Refractor Nikola Jokic /25 #TT-1 CGC AUTH</t>
        </is>
      </c>
      <c r="D53" t="inlineStr">
        <is>
          <t>2026-05-03</t>
        </is>
      </c>
      <c r="E53" s="2" t="n">
        <v>40.05</v>
      </c>
      <c r="G53" s="2" t="n">
        <v>0</v>
      </c>
      <c r="H53" s="3" t="n"/>
      <c r="I53" s="2">
        <f>IF(H53&lt;&gt;"",E53-H53,"")</f>
        <v/>
      </c>
      <c r="J53" s="4">
        <f>IF(H53&lt;&gt;"",I53/H53,"")</f>
        <v/>
      </c>
    </row>
    <row r="54">
      <c r="A54" t="n">
        <v>53</v>
      </c>
      <c r="B54" t="inlineStr">
        <is>
          <t>Whatnot</t>
        </is>
      </c>
      <c r="C54" t="inlineStr">
        <is>
          <t>2024 Panini Flawless Dereck Lively II PATCH AUTO /25 #FPA-DLM CGC AUTH</t>
        </is>
      </c>
      <c r="D54" t="inlineStr">
        <is>
          <t>2026-04-26</t>
        </is>
      </c>
      <c r="E54" s="2" t="n">
        <v>35.85</v>
      </c>
      <c r="G54" s="2" t="n">
        <v>0</v>
      </c>
      <c r="H54" s="3" t="n"/>
      <c r="I54" s="2">
        <f>IF(H54&lt;&gt;"",E54-H54,"")</f>
        <v/>
      </c>
      <c r="J54" s="4">
        <f>IF(H54&lt;&gt;"",I54/H54,"")</f>
        <v/>
      </c>
    </row>
    <row r="55">
      <c r="A55" t="n">
        <v>54</v>
      </c>
      <c r="B55" t="inlineStr">
        <is>
          <t>Whatnot</t>
        </is>
      </c>
      <c r="C55" t="inlineStr">
        <is>
          <t>2021 Absolute Jumbo Cleats Kenneth Gainwell ROOKIE PATCH /5 #JUM-KGA CGC AUTH</t>
        </is>
      </c>
      <c r="D55" t="inlineStr">
        <is>
          <t>2026-03-22</t>
        </is>
      </c>
      <c r="E55" s="2" t="n">
        <v>34.8</v>
      </c>
      <c r="G55" s="2" t="n">
        <v>0</v>
      </c>
      <c r="H55" s="3" t="n"/>
      <c r="I55" s="2">
        <f>IF(H55&lt;&gt;"",E55-H55,"")</f>
        <v/>
      </c>
      <c r="J55" s="4">
        <f>IF(H55&lt;&gt;"",I55/H55,"")</f>
        <v/>
      </c>
    </row>
    <row r="56">
      <c r="A56" t="n">
        <v>55</v>
      </c>
      <c r="B56" t="inlineStr">
        <is>
          <t>Whatnot</t>
        </is>
      </c>
      <c r="C56" t="inlineStr">
        <is>
          <t>2023 Finest Masters Gold Geometric Refractor Donovan Mitchell AUTO /50 #MA-DM CGC AUTH</t>
        </is>
      </c>
      <c r="D56" t="inlineStr">
        <is>
          <t>2026-04-26</t>
        </is>
      </c>
      <c r="E56" s="2" t="n">
        <v>33.75</v>
      </c>
      <c r="G56" s="2" t="n">
        <v>0</v>
      </c>
      <c r="H56" s="3" t="n"/>
      <c r="I56" s="2">
        <f>IF(H56&lt;&gt;"",E56-H56,"")</f>
        <v/>
      </c>
      <c r="J56" s="4">
        <f>IF(H56&lt;&gt;"",I56/H56,"")</f>
        <v/>
      </c>
    </row>
    <row r="57">
      <c r="A57" t="n">
        <v>56</v>
      </c>
      <c r="B57" t="inlineStr">
        <is>
          <t>Whatnot</t>
        </is>
      </c>
      <c r="C57" t="inlineStr">
        <is>
          <t>2024 Panini Flawless Legendary Scripts Gold Metta World Peace AUTO #LSC-MWP CGC AUTH</t>
        </is>
      </c>
      <c r="D57" t="inlineStr">
        <is>
          <t>2026-03-22</t>
        </is>
      </c>
      <c r="E57" s="2" t="n">
        <v>32.7</v>
      </c>
      <c r="G57" s="2" t="n">
        <v>0</v>
      </c>
      <c r="H57" s="3" t="n"/>
      <c r="I57" s="2">
        <f>IF(H57&lt;&gt;"",E57-H57,"")</f>
        <v/>
      </c>
      <c r="J57" s="4">
        <f>IF(H57&lt;&gt;"",I57/H57,"")</f>
        <v/>
      </c>
    </row>
    <row r="58">
      <c r="A58" t="n">
        <v>57</v>
      </c>
      <c r="B58" t="inlineStr">
        <is>
          <t>Whatnot</t>
        </is>
      </c>
      <c r="C58" t="inlineStr">
        <is>
          <t>2022 Panini Flawless Collegiate Star Swatch Jaren Jackson Jr. PATCH AUTO /25 #SS-JJJ</t>
        </is>
      </c>
      <c r="D58" t="inlineStr">
        <is>
          <t>2026-02-21</t>
        </is>
      </c>
      <c r="E58" s="2" t="n">
        <v>32.55</v>
      </c>
      <c r="G58" s="2" t="n">
        <v>0</v>
      </c>
      <c r="H58" s="3" t="n"/>
      <c r="I58" s="2">
        <f>IF(H58&lt;&gt;"",E58-H58,"")</f>
        <v/>
      </c>
      <c r="J58" s="4">
        <f>IF(H58&lt;&gt;"",I58/H58,"")</f>
        <v/>
      </c>
    </row>
    <row r="59">
      <c r="A59" t="n">
        <v>58</v>
      </c>
      <c r="B59" t="inlineStr">
        <is>
          <t>Whatnot</t>
        </is>
      </c>
      <c r="C59" t="inlineStr">
        <is>
          <t>2025 Topps Sole Ambition LeBron James #SA-1 CGC AUTH</t>
        </is>
      </c>
      <c r="D59" t="inlineStr">
        <is>
          <t>2026-02-21</t>
        </is>
      </c>
      <c r="E59" s="2" t="n">
        <v>31.65</v>
      </c>
      <c r="G59" s="2" t="n">
        <v>0</v>
      </c>
      <c r="H59" s="3" t="n"/>
      <c r="I59" s="2">
        <f>IF(H59&lt;&gt;"",E59-H59,"")</f>
        <v/>
      </c>
      <c r="J59" s="4">
        <f>IF(H59&lt;&gt;"",I59/H59,"")</f>
        <v/>
      </c>
    </row>
    <row r="60">
      <c r="A60" t="n">
        <v>59</v>
      </c>
      <c r="B60" t="inlineStr">
        <is>
          <t>Whatnot</t>
        </is>
      </c>
      <c r="C60" t="inlineStr">
        <is>
          <t>2024 Immaculate Collection Sophisticated Ruby Carlos Vela AUTO JERSEY # 11/30 #SS-CVE CGC AUTH</t>
        </is>
      </c>
      <c r="D60" t="inlineStr">
        <is>
          <t>2026-03-22</t>
        </is>
      </c>
      <c r="E60" s="2" t="n">
        <v>29.55</v>
      </c>
      <c r="G60" s="2" t="n">
        <v>0</v>
      </c>
      <c r="H60" s="3" t="n"/>
      <c r="I60" s="2">
        <f>IF(H60&lt;&gt;"",E60-H60,"")</f>
        <v/>
      </c>
      <c r="J60" s="4">
        <f>IF(H60&lt;&gt;"",I60/H60,"")</f>
        <v/>
      </c>
    </row>
    <row r="61">
      <c r="A61" t="n">
        <v>60</v>
      </c>
      <c r="B61" t="inlineStr">
        <is>
          <t>Whatnot</t>
        </is>
      </c>
      <c r="C61" t="inlineStr">
        <is>
          <t>2021 Leaf Metal Draft Portrait Gold Crystal DeVonta Smith ROOKIE AUTO 1/1 #PA-DS2 CGC AUTH</t>
        </is>
      </c>
      <c r="D61" t="inlineStr">
        <is>
          <t>2026-03-22</t>
        </is>
      </c>
      <c r="E61" s="2" t="n">
        <v>29.55</v>
      </c>
      <c r="G61" s="2" t="n">
        <v>0</v>
      </c>
      <c r="H61" s="3" t="n"/>
      <c r="I61" s="2">
        <f>IF(H61&lt;&gt;"",E61-H61,"")</f>
        <v/>
      </c>
      <c r="J61" s="4">
        <f>IF(H61&lt;&gt;"",I61/H61,"")</f>
        <v/>
      </c>
    </row>
    <row r="62">
      <c r="A62" t="n">
        <v>61</v>
      </c>
      <c r="B62" t="inlineStr">
        <is>
          <t>Whatnot</t>
        </is>
      </c>
      <c r="C62" t="inlineStr">
        <is>
          <t>2024 Bowman Chrome Draft Orange Wave Refractor Kavares Tears PROSPECT AUTO /25 #CPA-KT CGC AUTH</t>
        </is>
      </c>
      <c r="D62" t="inlineStr">
        <is>
          <t>2026-03-22</t>
        </is>
      </c>
      <c r="E62" s="2" t="n">
        <v>27.45</v>
      </c>
      <c r="G62" s="2" t="n">
        <v>0</v>
      </c>
      <c r="H62" s="3" t="n"/>
      <c r="I62" s="2">
        <f>IF(H62&lt;&gt;"",E62-H62,"")</f>
        <v/>
      </c>
      <c r="J62" s="4">
        <f>IF(H62&lt;&gt;"",I62/H62,"")</f>
        <v/>
      </c>
    </row>
    <row r="63">
      <c r="A63" t="n">
        <v>62</v>
      </c>
      <c r="B63" t="inlineStr">
        <is>
          <t>Whatnot</t>
        </is>
      </c>
      <c r="C63" t="inlineStr">
        <is>
          <t>2024 Immaculate Collection Sophisticated Signatures Karl-Anthony Towns AUTO /49 CGC AUTH</t>
        </is>
      </c>
      <c r="D63" t="inlineStr">
        <is>
          <t>2026-04-26</t>
        </is>
      </c>
      <c r="E63" s="2" t="n">
        <v>27.45</v>
      </c>
      <c r="G63" s="2" t="n">
        <v>0</v>
      </c>
      <c r="H63" s="3" t="n"/>
      <c r="I63" s="2">
        <f>IF(H63&lt;&gt;"",E63-H63,"")</f>
        <v/>
      </c>
      <c r="J63" s="4">
        <f>IF(H63&lt;&gt;"",I63/H63,"")</f>
        <v/>
      </c>
    </row>
    <row r="64">
      <c r="A64" t="n">
        <v>63</v>
      </c>
      <c r="B64" t="inlineStr">
        <is>
          <t>Whatnot</t>
        </is>
      </c>
      <c r="C64" t="inlineStr">
        <is>
          <t>2025 Topps Chrome Sky Write Orange Geometric Refractor Ajay Mitchell AUTO /25 #SWS-AM CGC AUTH</t>
        </is>
      </c>
      <c r="D64" t="inlineStr">
        <is>
          <t>2026-03-22</t>
        </is>
      </c>
      <c r="E64" s="2" t="n">
        <v>24.3</v>
      </c>
      <c r="G64" s="2" t="n">
        <v>0</v>
      </c>
      <c r="H64" s="3" t="n"/>
      <c r="I64" s="2">
        <f>IF(H64&lt;&gt;"",E64-H64,"")</f>
        <v/>
      </c>
      <c r="J64" s="4">
        <f>IF(H64&lt;&gt;"",I64/H64,"")</f>
        <v/>
      </c>
    </row>
    <row r="65">
      <c r="A65" t="n">
        <v>64</v>
      </c>
      <c r="B65" t="inlineStr">
        <is>
          <t>Whatnot</t>
        </is>
      </c>
      <c r="C65" t="inlineStr">
        <is>
          <t>2024 Panini Obsidian Trailblazer Electric Etch Molten Mojo OG Anunoby AUTO /10 #TA-OGA CGC AUTH</t>
        </is>
      </c>
      <c r="D65" t="inlineStr">
        <is>
          <t>2026-03-22</t>
        </is>
      </c>
      <c r="E65" s="2" t="n">
        <v>24.3</v>
      </c>
      <c r="G65" s="2" t="n">
        <v>0</v>
      </c>
      <c r="H65" s="3" t="n"/>
      <c r="I65" s="2">
        <f>IF(H65&lt;&gt;"",E65-H65,"")</f>
        <v/>
      </c>
      <c r="J65" s="4">
        <f>IF(H65&lt;&gt;"",I65/H65,"")</f>
        <v/>
      </c>
    </row>
    <row r="66">
      <c r="A66" t="n">
        <v>65</v>
      </c>
      <c r="B66" t="inlineStr">
        <is>
          <t>Whatnot</t>
        </is>
      </c>
      <c r="C66" t="inlineStr">
        <is>
          <t>2025 Panini Impeccable Elegance Holo Gold Kyle Teel ROOKIE PATCH AUTO JERSEY # 8/10 CGC AUTH</t>
        </is>
      </c>
      <c r="D66" t="inlineStr">
        <is>
          <t>2026-03-22</t>
        </is>
      </c>
      <c r="E66" s="2" t="n">
        <v>20.1</v>
      </c>
      <c r="G66" s="2" t="n">
        <v>0</v>
      </c>
      <c r="H66" s="3" t="n"/>
      <c r="I66" s="2">
        <f>IF(H66&lt;&gt;"",E66-H66,"")</f>
        <v/>
      </c>
      <c r="J66" s="4">
        <f>IF(H66&lt;&gt;"",I66/H66,"")</f>
        <v/>
      </c>
    </row>
    <row r="67">
      <c r="A67" t="n">
        <v>66</v>
      </c>
      <c r="B67" t="inlineStr">
        <is>
          <t>Whatnot</t>
        </is>
      </c>
      <c r="C67" t="inlineStr">
        <is>
          <t>2024 Immaculate Collection Materials LaMelo Ball PATCH /99 #MAT-LMB CGC AUTH</t>
        </is>
      </c>
      <c r="D67" t="inlineStr">
        <is>
          <t>2026-04-26</t>
        </is>
      </c>
      <c r="E67" s="2" t="n">
        <v>19.05</v>
      </c>
      <c r="G67" s="2" t="n">
        <v>0</v>
      </c>
      <c r="H67" s="3" t="n"/>
      <c r="I67" s="2">
        <f>IF(H67&lt;&gt;"",E67-H67,"")</f>
        <v/>
      </c>
      <c r="J67" s="4">
        <f>IF(H67&lt;&gt;"",I67/H67,"")</f>
        <v/>
      </c>
    </row>
    <row r="68">
      <c r="A68" t="n">
        <v>67</v>
      </c>
      <c r="B68" t="inlineStr">
        <is>
          <t>Whatnot</t>
        </is>
      </c>
      <c r="C68" t="inlineStr">
        <is>
          <t>2025 Finest Gold Refractor Angel Martinez ROOKIE RELIC AUTO /50 #RAJR-AM CGC AUTH</t>
        </is>
      </c>
      <c r="D68" t="inlineStr">
        <is>
          <t>2026-03-22</t>
        </is>
      </c>
      <c r="E68" s="2" t="n">
        <v>18</v>
      </c>
      <c r="G68" s="2" t="n">
        <v>0</v>
      </c>
      <c r="H68" s="3" t="n"/>
      <c r="I68" s="2">
        <f>IF(H68&lt;&gt;"",E68-H68,"")</f>
        <v/>
      </c>
      <c r="J68" s="4">
        <f>IF(H68&lt;&gt;"",I68/H68,"")</f>
        <v/>
      </c>
    </row>
    <row r="69">
      <c r="A69" t="n">
        <v>68</v>
      </c>
      <c r="B69" t="inlineStr">
        <is>
          <t>Whatnot</t>
        </is>
      </c>
      <c r="C69" t="inlineStr">
        <is>
          <t>2024 Panini Flawless Emerald Dalton Rushing ROOKIE PATCH AUTO /5 #PPA-DR CGC AUTH</t>
        </is>
      </c>
      <c r="D69" t="inlineStr">
        <is>
          <t>2026-03-22</t>
        </is>
      </c>
      <c r="E69" s="2" t="n">
        <v>18</v>
      </c>
      <c r="G69" s="2" t="n">
        <v>0</v>
      </c>
      <c r="H69" s="3" t="n"/>
      <c r="I69" s="2">
        <f>IF(H69&lt;&gt;"",E69-H69,"")</f>
        <v/>
      </c>
      <c r="J69" s="4">
        <f>IF(H69&lt;&gt;"",I69/H69,"")</f>
        <v/>
      </c>
    </row>
    <row r="70">
      <c r="A70" t="n">
        <v>69</v>
      </c>
      <c r="B70" t="inlineStr">
        <is>
          <t>Whatnot</t>
        </is>
      </c>
      <c r="C70" t="inlineStr">
        <is>
          <t>2024 Topps Class Veteran Gold Donovan McNabb AUTO /10 #VCA-DMC CGC AUTH</t>
        </is>
      </c>
      <c r="D70" t="inlineStr">
        <is>
          <t>2026-03-22</t>
        </is>
      </c>
      <c r="E70" s="2" t="n">
        <v>16.95</v>
      </c>
      <c r="G70" s="2" t="n">
        <v>0</v>
      </c>
      <c r="H70" s="3" t="n"/>
      <c r="I70" s="2">
        <f>IF(H70&lt;&gt;"",E70-H70,"")</f>
        <v/>
      </c>
      <c r="J70" s="4">
        <f>IF(H70&lt;&gt;"",I70/H70,"")</f>
        <v/>
      </c>
    </row>
    <row r="71">
      <c r="A71" t="n">
        <v>70</v>
      </c>
      <c r="B71" t="inlineStr">
        <is>
          <t>Whatnot</t>
        </is>
      </c>
      <c r="C71" t="inlineStr">
        <is>
          <t>2023 Topps Three Triple Gold Mikal Bridges PATCH AUTO 10/10 #TRA-MB</t>
        </is>
      </c>
      <c r="D71" t="inlineStr">
        <is>
          <t>2026-02-21</t>
        </is>
      </c>
      <c r="E71" s="2" t="n">
        <v>16.8</v>
      </c>
      <c r="G71" s="2" t="n">
        <v>0</v>
      </c>
      <c r="H71" s="3" t="n"/>
      <c r="I71" s="2">
        <f>IF(H71&lt;&gt;"",E71-H71,"")</f>
        <v/>
      </c>
      <c r="J71" s="4">
        <f>IF(H71&lt;&gt;"",I71/H71,"")</f>
        <v/>
      </c>
    </row>
    <row r="72">
      <c r="A72" t="n">
        <v>71</v>
      </c>
      <c r="B72" t="inlineStr">
        <is>
          <t>Whatnot</t>
        </is>
      </c>
      <c r="C72" t="inlineStr">
        <is>
          <t>2024 Leaf Collective Press Pass Light Blue Shimmer Vladimir Guerrero AUTO 10/10 CGC AUTH</t>
        </is>
      </c>
      <c r="D72" t="inlineStr">
        <is>
          <t>2026-04-19</t>
        </is>
      </c>
      <c r="E72" s="2" t="n">
        <v>15.9</v>
      </c>
      <c r="G72" s="2" t="n">
        <v>0</v>
      </c>
      <c r="H72" s="3" t="n"/>
      <c r="I72" s="2">
        <f>IF(H72&lt;&gt;"",E72-H72,"")</f>
        <v/>
      </c>
      <c r="J72" s="4">
        <f>IF(H72&lt;&gt;"",I72/H72,"")</f>
        <v/>
      </c>
    </row>
    <row r="73">
      <c r="A73" t="n">
        <v>72</v>
      </c>
      <c r="B73" t="inlineStr">
        <is>
          <t>Whatnot</t>
        </is>
      </c>
      <c r="C73" t="inlineStr">
        <is>
          <t>2023 Immaculate Collection Sophisticated Red Latrell Sprewell AUTO /25 #SSS-LSN CGC AUTH</t>
        </is>
      </c>
      <c r="D73" t="inlineStr">
        <is>
          <t>2026-03-22</t>
        </is>
      </c>
      <c r="E73" s="2" t="n">
        <v>14.85</v>
      </c>
      <c r="G73" s="2" t="n">
        <v>0</v>
      </c>
      <c r="H73" s="3" t="n"/>
      <c r="I73" s="2">
        <f>IF(H73&lt;&gt;"",E73-H73,"")</f>
        <v/>
      </c>
      <c r="J73" s="4">
        <f>IF(H73&lt;&gt;"",I73/H73,"")</f>
        <v/>
      </c>
    </row>
    <row r="74">
      <c r="A74" t="n">
        <v>73</v>
      </c>
      <c r="B74" t="inlineStr">
        <is>
          <t>Whatnot</t>
        </is>
      </c>
      <c r="C74" t="inlineStr">
        <is>
          <t>2024 Topps Chrome Sky Light Gold Geometric Refractor Donovan Mitchell AUTO /50 #SLS-DM CGC AUTH</t>
        </is>
      </c>
      <c r="D74" t="inlineStr">
        <is>
          <t>2026-05-03</t>
        </is>
      </c>
      <c r="E74" s="2" t="n">
        <v>14.85</v>
      </c>
      <c r="G74" s="2" t="n">
        <v>0</v>
      </c>
      <c r="H74" s="3" t="n"/>
      <c r="I74" s="2">
        <f>IF(H74&lt;&gt;"",E74-H74,"")</f>
        <v/>
      </c>
      <c r="J74" s="4">
        <f>IF(H74&lt;&gt;"",I74/H74,"")</f>
        <v/>
      </c>
    </row>
    <row r="75">
      <c r="A75" t="n">
        <v>74</v>
      </c>
      <c r="B75" t="inlineStr">
        <is>
          <t>Whatnot</t>
        </is>
      </c>
      <c r="C75" t="inlineStr">
        <is>
          <t>2025 Topps '80-81 Gold Rainbow Foil Adou Thiero ROOKIE AUTO /50 #80B2R-AT CGC AUTH</t>
        </is>
      </c>
      <c r="D75" t="inlineStr">
        <is>
          <t>2026-03-22</t>
        </is>
      </c>
      <c r="E75" s="2" t="n">
        <v>13.8</v>
      </c>
      <c r="G75" s="2" t="n">
        <v>0</v>
      </c>
      <c r="H75" s="3" t="n"/>
      <c r="I75" s="2">
        <f>IF(H75&lt;&gt;"",E75-H75,"")</f>
        <v/>
      </c>
      <c r="J75" s="4">
        <f>IF(H75&lt;&gt;"",I75/H75,"")</f>
        <v/>
      </c>
    </row>
    <row r="76">
      <c r="A76" t="n">
        <v>75</v>
      </c>
      <c r="B76" t="inlineStr">
        <is>
          <t>Whatnot</t>
        </is>
      </c>
      <c r="C76" t="inlineStr">
        <is>
          <t>2025 Topps Chrome Sky Write Black Geometric Refractor Ayo Dosunmu AUTO 1/10 #SWS-AD CGC AUTH</t>
        </is>
      </c>
      <c r="D76" t="inlineStr">
        <is>
          <t>2026-03-22</t>
        </is>
      </c>
      <c r="E76" s="2" t="n">
        <v>12.75</v>
      </c>
      <c r="G76" s="2" t="n">
        <v>0</v>
      </c>
      <c r="H76" s="3" t="n"/>
      <c r="I76" s="2">
        <f>IF(H76&lt;&gt;"",E76-H76,"")</f>
        <v/>
      </c>
      <c r="J76" s="4">
        <f>IF(H76&lt;&gt;"",I76/H76,"")</f>
        <v/>
      </c>
    </row>
    <row r="77">
      <c r="A77" t="n">
        <v>76</v>
      </c>
      <c r="B77" t="inlineStr">
        <is>
          <t>Whatnot</t>
        </is>
      </c>
      <c r="C77" t="inlineStr">
        <is>
          <t>2022 Select FIFA Memorabilia Green Rafael Santos Borre PATCH AUTO /5 #AM-RSB CGC AUTH</t>
        </is>
      </c>
      <c r="D77" t="inlineStr">
        <is>
          <t>2026-03-22</t>
        </is>
      </c>
      <c r="E77" s="2" t="n">
        <v>11.7</v>
      </c>
      <c r="G77" s="2" t="n">
        <v>0</v>
      </c>
      <c r="H77" s="3" t="n"/>
      <c r="I77" s="2">
        <f>IF(H77&lt;&gt;"",E77-H77,"")</f>
        <v/>
      </c>
      <c r="J77" s="4">
        <f>IF(H77&lt;&gt;"",I77/H77,"")</f>
        <v/>
      </c>
    </row>
    <row r="78">
      <c r="A78" t="n">
        <v>77</v>
      </c>
      <c r="B78" t="inlineStr">
        <is>
          <t>Whatnot</t>
        </is>
      </c>
      <c r="C78" t="inlineStr">
        <is>
          <t>2024 Select Signature Memorabilia Dallas Goedert PATCH AUTO /199 #SM-DGT CGC AUTH</t>
        </is>
      </c>
      <c r="D78" t="inlineStr">
        <is>
          <t>2026-03-22</t>
        </is>
      </c>
      <c r="E78" s="2" t="n">
        <v>10.65</v>
      </c>
      <c r="G78" s="2" t="n">
        <v>0</v>
      </c>
      <c r="H78" s="3" t="n"/>
      <c r="I78" s="2">
        <f>IF(H78&lt;&gt;"",E78-H78,"")</f>
        <v/>
      </c>
      <c r="J78" s="4">
        <f>IF(H78&lt;&gt;"",I78/H78,"")</f>
        <v/>
      </c>
    </row>
    <row r="79">
      <c r="A79" t="n">
        <v>78</v>
      </c>
      <c r="B79" t="inlineStr">
        <is>
          <t>Whatnot</t>
        </is>
      </c>
      <c r="C79" t="inlineStr">
        <is>
          <t>2015 Select Copper Jeremy Lin /49 #291 CGC AUTH</t>
        </is>
      </c>
      <c r="D79" t="inlineStr">
        <is>
          <t>2026-03-22</t>
        </is>
      </c>
      <c r="E79" s="2" t="n">
        <v>9.600000000000001</v>
      </c>
      <c r="G79" s="2" t="n">
        <v>0</v>
      </c>
      <c r="H79" s="3" t="n"/>
      <c r="I79" s="2">
        <f>IF(H79&lt;&gt;"",E79-H79,"")</f>
        <v/>
      </c>
      <c r="J79" s="4">
        <f>IF(H79&lt;&gt;"",I79/H79,"")</f>
        <v/>
      </c>
    </row>
    <row r="80">
      <c r="A80" t="n">
        <v>79</v>
      </c>
      <c r="B80" t="inlineStr">
        <is>
          <t>Whatnot</t>
        </is>
      </c>
      <c r="C80" t="inlineStr">
        <is>
          <t>2025 Topps Chrome Issue Noa Essengue ROOKIE AUTO #TAIR-NE CGC AUTH</t>
        </is>
      </c>
      <c r="D80" t="inlineStr">
        <is>
          <t>2026-03-22</t>
        </is>
      </c>
      <c r="E80" s="2" t="n">
        <v>8.550000000000001</v>
      </c>
      <c r="G80" s="2" t="n">
        <v>0</v>
      </c>
      <c r="H80" s="3" t="n"/>
      <c r="I80" s="2">
        <f>IF(H80&lt;&gt;"",E80-H80,"")</f>
        <v/>
      </c>
      <c r="J80" s="4">
        <f>IF(H80&lt;&gt;"",I80/H80,"")</f>
        <v/>
      </c>
    </row>
    <row r="81">
      <c r="A81" t="n">
        <v>80</v>
      </c>
      <c r="B81" t="inlineStr">
        <is>
          <t>Whatnot</t>
        </is>
      </c>
      <c r="C81" t="inlineStr">
        <is>
          <t>2023 Topps Five Star Silver Signatures Orange Rhys Hoskins AUTO 1/5 #SS-RH CGC AUTH</t>
        </is>
      </c>
      <c r="D81" t="inlineStr">
        <is>
          <t>2026-03-22</t>
        </is>
      </c>
      <c r="E81" s="2" t="n">
        <v>8.550000000000001</v>
      </c>
      <c r="G81" s="2" t="n">
        <v>0</v>
      </c>
      <c r="H81" s="3" t="n"/>
      <c r="I81" s="2">
        <f>IF(H81&lt;&gt;"",E81-H81,"")</f>
        <v/>
      </c>
      <c r="J81" s="4">
        <f>IF(H81&lt;&gt;"",I81/H81,"")</f>
        <v/>
      </c>
    </row>
    <row r="82">
      <c r="A82" t="n">
        <v>81</v>
      </c>
      <c r="B82" t="inlineStr">
        <is>
          <t>Whatnot</t>
        </is>
      </c>
      <c r="C82" t="inlineStr">
        <is>
          <t>2025 Topps Chrome Loading Green Geometric Refractor Anthony Edwards /99 #LD-3 CGC AUTH</t>
        </is>
      </c>
      <c r="D82" t="inlineStr">
        <is>
          <t>2026-05-03</t>
        </is>
      </c>
      <c r="E82" s="2" t="n">
        <v>8.550000000000001</v>
      </c>
      <c r="G82" s="2" t="n">
        <v>0</v>
      </c>
      <c r="H82" s="3" t="n"/>
      <c r="I82" s="2">
        <f>IF(H82&lt;&gt;"",E82-H82,"")</f>
        <v/>
      </c>
      <c r="J82" s="4">
        <f>IF(H82&lt;&gt;"",I82/H82,"")</f>
        <v/>
      </c>
    </row>
    <row r="83">
      <c r="A83" t="n">
        <v>82</v>
      </c>
      <c r="B83" t="inlineStr">
        <is>
          <t>Whatnot</t>
        </is>
      </c>
      <c r="C83" t="inlineStr">
        <is>
          <t>2023 Topps Chrome '72 Black Wave Refractor Maurice Cheeks AUTO /10 #TA-MC CGC AUTH</t>
        </is>
      </c>
      <c r="D83" t="inlineStr">
        <is>
          <t>2026-03-22</t>
        </is>
      </c>
      <c r="E83" s="2" t="n">
        <v>7.5</v>
      </c>
      <c r="G83" s="2" t="n">
        <v>0</v>
      </c>
      <c r="H83" s="3" t="n"/>
      <c r="I83" s="2">
        <f>IF(H83&lt;&gt;"",E83-H83,"")</f>
        <v/>
      </c>
      <c r="J83" s="4">
        <f>IF(H83&lt;&gt;"",I83/H83,"")</f>
        <v/>
      </c>
    </row>
    <row r="84">
      <c r="A84" t="n">
        <v>83</v>
      </c>
      <c r="B84" t="inlineStr">
        <is>
          <t>Whatnot</t>
        </is>
      </c>
      <c r="C84" t="inlineStr">
        <is>
          <t>2024 Panini Noir Curtain Call Yuta Watanabe AUTO /15 #CC-YWB CGC AUTH</t>
        </is>
      </c>
      <c r="D84" t="inlineStr">
        <is>
          <t>2026-03-22</t>
        </is>
      </c>
      <c r="E84" s="2" t="n">
        <v>7.5</v>
      </c>
      <c r="G84" s="2" t="n">
        <v>0</v>
      </c>
      <c r="H84" s="3" t="n"/>
      <c r="I84" s="2">
        <f>IF(H84&lt;&gt;"",E84-H84,"")</f>
        <v/>
      </c>
      <c r="J84" s="4">
        <f>IF(H84&lt;&gt;"",I84/H84,"")</f>
        <v/>
      </c>
    </row>
    <row r="85">
      <c r="A85" t="n">
        <v>84</v>
      </c>
      <c r="B85" t="inlineStr">
        <is>
          <t>Whatnot</t>
        </is>
      </c>
      <c r="C85" t="inlineStr">
        <is>
          <t>2024 Topps Reverence UEFA Club Competitions Orange Kjell Watjen /25 ROOKIE PATCH CGC AUTH</t>
        </is>
      </c>
      <c r="D85" t="inlineStr">
        <is>
          <t>2026-03-22</t>
        </is>
      </c>
      <c r="E85" s="2" t="n">
        <v>5.4</v>
      </c>
      <c r="G85" s="2" t="n">
        <v>0</v>
      </c>
      <c r="H85" s="3" t="n"/>
      <c r="I85" s="2">
        <f>IF(H85&lt;&gt;"",E85-H85,"")</f>
        <v/>
      </c>
      <c r="J85" s="4">
        <f>IF(H85&lt;&gt;"",I85/H85,"")</f>
        <v/>
      </c>
    </row>
    <row r="86">
      <c r="A86" t="n">
        <v>85</v>
      </c>
      <c r="B86" t="inlineStr">
        <is>
          <t>Whatnot</t>
        </is>
      </c>
      <c r="C86" t="inlineStr">
        <is>
          <t>2024 Leaf Collective Promos Metal Green Shimmer Lamine Yamal /50 #LB-4 CGC AUTH</t>
        </is>
      </c>
      <c r="D86" t="inlineStr">
        <is>
          <t>2026-03-22</t>
        </is>
      </c>
      <c r="E86" s="2" t="n">
        <v>5.4</v>
      </c>
      <c r="G86" s="2" t="n">
        <v>0</v>
      </c>
      <c r="H86" s="3" t="n"/>
      <c r="I86" s="2">
        <f>IF(H86&lt;&gt;"",E86-H86,"")</f>
        <v/>
      </c>
      <c r="J86" s="4">
        <f>IF(H86&lt;&gt;"",I86/H86,"")</f>
        <v/>
      </c>
    </row>
    <row r="87">
      <c r="A87" t="n">
        <v>86</v>
      </c>
      <c r="B87" t="inlineStr">
        <is>
          <t>Whatnot</t>
        </is>
      </c>
      <c r="C87" t="inlineStr">
        <is>
          <t>2024 Bowman University Best Arrow Orange Mini Diamond Ref Aneesah Morrow RC AUTO /25 CGC AUTH</t>
        </is>
      </c>
      <c r="D87" t="inlineStr">
        <is>
          <t>2026-03-22</t>
        </is>
      </c>
      <c r="E87" s="2" t="n">
        <v>5.4</v>
      </c>
      <c r="G87" s="2" t="n">
        <v>0</v>
      </c>
      <c r="H87" s="3" t="n"/>
      <c r="I87" s="2">
        <f>IF(H87&lt;&gt;"",E87-H87,"")</f>
        <v/>
      </c>
      <c r="J87" s="4">
        <f>IF(H87&lt;&gt;"",I87/H87,"")</f>
        <v/>
      </c>
    </row>
    <row r="88">
      <c r="A88" t="n">
        <v>87</v>
      </c>
      <c r="B88" t="inlineStr">
        <is>
          <t>Whatnot</t>
        </is>
      </c>
      <c r="C88" t="inlineStr">
        <is>
          <t>2024 Topps Chrome McDonald's AA New Hire Badge Red Ref Kayleigh Heckel RC AUTO 5/5 CGC AUTH</t>
        </is>
      </c>
      <c r="D88" t="inlineStr">
        <is>
          <t>2026-03-22</t>
        </is>
      </c>
      <c r="E88" s="2" t="n">
        <v>5.4</v>
      </c>
      <c r="G88" s="2" t="n">
        <v>0</v>
      </c>
      <c r="H88" s="3" t="n"/>
      <c r="I88" s="2">
        <f>IF(H88&lt;&gt;"",E88-H88,"")</f>
        <v/>
      </c>
      <c r="J88" s="4">
        <f>IF(H88&lt;&gt;"",I88/H88,"")</f>
        <v/>
      </c>
    </row>
    <row r="89">
      <c r="A89" t="n">
        <v>88</v>
      </c>
      <c r="B89" t="inlineStr">
        <is>
          <t>Whatnot</t>
        </is>
      </c>
      <c r="C89" t="inlineStr">
        <is>
          <t>2024 Immaculate Collection Standout Memorabilia Jalen Williams PATCH /99 #SM-JLN CGC AUTH</t>
        </is>
      </c>
      <c r="D89" t="inlineStr">
        <is>
          <t>2026-04-26</t>
        </is>
      </c>
      <c r="E89" s="2" t="n">
        <v>5.4</v>
      </c>
      <c r="G89" s="2" t="n">
        <v>0</v>
      </c>
      <c r="H89" s="3" t="n"/>
      <c r="I89" s="2">
        <f>IF(H89&lt;&gt;"",E89-H89,"")</f>
        <v/>
      </c>
      <c r="J89" s="4">
        <f>IF(H89&lt;&gt;"",I89/H89,"")</f>
        <v/>
      </c>
    </row>
    <row r="90">
      <c r="A90" t="n">
        <v>89</v>
      </c>
      <c r="B90" t="inlineStr">
        <is>
          <t>Whatnot</t>
        </is>
      </c>
      <c r="C90" t="inlineStr">
        <is>
          <t>2024 Select Jumbo Swatches Will Shipley ROOKIE PATCH AUTO /99 #JRSS-WSY CGC AUTH</t>
        </is>
      </c>
      <c r="D90" t="inlineStr">
        <is>
          <t>2026-05-03</t>
        </is>
      </c>
      <c r="E90" s="2" t="n">
        <v>5.4</v>
      </c>
      <c r="G90" s="2" t="n">
        <v>0</v>
      </c>
      <c r="H90" s="3" t="n"/>
      <c r="I90" s="2">
        <f>IF(H90&lt;&gt;"",E90-H90,"")</f>
        <v/>
      </c>
      <c r="J90" s="4">
        <f>IF(H90&lt;&gt;"",I90/H90,"")</f>
        <v/>
      </c>
    </row>
    <row r="91">
      <c r="A91" t="n">
        <v>90</v>
      </c>
      <c r="B91" t="inlineStr">
        <is>
          <t>Whatnot</t>
        </is>
      </c>
      <c r="C91" t="inlineStr">
        <is>
          <t>2023 Panini Black Memorabilia Ruby FOTL Vasilije Micic ROOKIE PATCH AUTO 1/15 #RJA-VM CGC AUTH</t>
        </is>
      </c>
      <c r="D91" t="inlineStr">
        <is>
          <t>2026-03-22</t>
        </is>
      </c>
      <c r="E91" s="2" t="n">
        <v>3.300000000000001</v>
      </c>
      <c r="G91" s="2" t="n">
        <v>0</v>
      </c>
      <c r="H91" s="3" t="n"/>
      <c r="I91" s="2">
        <f>IF(H91&lt;&gt;"",E91-H91,"")</f>
        <v/>
      </c>
      <c r="J91" s="4">
        <f>IF(H91&lt;&gt;"",I91/H91,"")</f>
        <v/>
      </c>
    </row>
    <row r="92">
      <c r="A92" t="n">
        <v>91</v>
      </c>
      <c r="B92" t="inlineStr">
        <is>
          <t>Whatnot</t>
        </is>
      </c>
      <c r="C92" t="inlineStr">
        <is>
          <t>2024 Topps Paris Saint Germain Blue Lucas Hernandez AUTO /250 #AU-LH CGC AUTH</t>
        </is>
      </c>
      <c r="D92" t="inlineStr">
        <is>
          <t>2026-03-22</t>
        </is>
      </c>
      <c r="E92" s="2" t="n">
        <v>3.300000000000001</v>
      </c>
      <c r="G92" s="2" t="n">
        <v>0</v>
      </c>
      <c r="H92" s="3" t="n"/>
      <c r="I92" s="2">
        <f>IF(H92&lt;&gt;"",E92-H92,"")</f>
        <v/>
      </c>
      <c r="J92" s="4">
        <f>IF(H92&lt;&gt;"",I92/H92,"")</f>
        <v/>
      </c>
    </row>
    <row r="93">
      <c r="A93" t="n">
        <v>92</v>
      </c>
      <c r="B93" t="inlineStr">
        <is>
          <t>Whatnot</t>
        </is>
      </c>
      <c r="C93" t="inlineStr">
        <is>
          <t>2024 National Treasures Gold Orelvis Martinez ROOKIE PATCH AUTO 49/49 #PMS-OM CGC AUTH</t>
        </is>
      </c>
      <c r="D93" t="inlineStr">
        <is>
          <t>2026-03-22</t>
        </is>
      </c>
      <c r="E93" s="2" t="n">
        <v>2.25</v>
      </c>
      <c r="G93" s="2" t="n">
        <v>0</v>
      </c>
      <c r="H93" s="3" t="n"/>
      <c r="I93" s="2">
        <f>IF(H93&lt;&gt;"",E93-H93,"")</f>
        <v/>
      </c>
      <c r="J93" s="4">
        <f>IF(H93&lt;&gt;"",I93/H93,"")</f>
        <v/>
      </c>
    </row>
    <row r="94">
      <c r="A94" t="n">
        <v>93</v>
      </c>
      <c r="B94" t="inlineStr">
        <is>
          <t>Whatnot</t>
        </is>
      </c>
      <c r="C94" t="inlineStr">
        <is>
          <t>2025 Topps Chrome Inspirational Raywave Refractor Victor Wembanyama #IP-6 CGC AUTH</t>
        </is>
      </c>
      <c r="D94" t="inlineStr">
        <is>
          <t>2026-05-03</t>
        </is>
      </c>
      <c r="E94" s="2" t="n">
        <v>2.25</v>
      </c>
      <c r="G94" s="2" t="n">
        <v>0</v>
      </c>
      <c r="H94" s="3" t="n"/>
      <c r="I94" s="2">
        <f>IF(H94&lt;&gt;"",E94-H94,"")</f>
        <v/>
      </c>
      <c r="J94" s="4">
        <f>IF(H94&lt;&gt;"",I94/H94,"")</f>
        <v/>
      </c>
    </row>
    <row r="96">
      <c r="D96" s="1" t="inlineStr">
        <is>
          <t>TOTALS:</t>
        </is>
      </c>
      <c r="E96" s="3">
        <f>SUM(E2:E94)</f>
        <v/>
      </c>
      <c r="H96" s="3">
        <f>SUM(H2:H94)</f>
        <v/>
      </c>
      <c r="I96" s="3">
        <f>SUM(I2:I94)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0" t="inlineStr">
        <is>
          <t>CROSS-PLATFORM TAX P&amp;L SUMMARY</t>
        </is>
      </c>
    </row>
    <row r="3">
      <c r="A3" s="6" t="inlineStr">
        <is>
          <t>Platform</t>
        </is>
      </c>
      <c r="B3" s="6" t="inlineStr">
        <is>
          <t>Proceeds</t>
        </is>
      </c>
      <c r="C3" s="6" t="inlineStr">
        <is>
          <t>Cost Basis</t>
        </is>
      </c>
      <c r="D3" s="6" t="inlineStr">
        <is>
          <t>P&amp;L</t>
        </is>
      </c>
      <c r="E3" s="6" t="inlineStr">
        <is>
          <t>Return</t>
        </is>
      </c>
    </row>
    <row r="4">
      <c r="A4" t="inlineStr">
        <is>
          <t>Goldin (matched)</t>
        </is>
      </c>
      <c r="B4" s="2">
        <f>'Goldin Matched'!E265</f>
        <v/>
      </c>
      <c r="C4" s="2">
        <f>'Goldin Matched'!J265</f>
        <v/>
      </c>
      <c r="D4" s="2">
        <f>'Goldin Matched'!K265</f>
        <v/>
      </c>
      <c r="E4" s="4">
        <f>IF(C4&gt;0,D4/C4,"")</f>
        <v/>
      </c>
    </row>
    <row r="5">
      <c r="A5" t="inlineStr">
        <is>
          <t>Goldin (unmatched)</t>
        </is>
      </c>
      <c r="B5" s="2">
        <f>'Goldin Unmatched'!E85</f>
        <v/>
      </c>
      <c r="C5" s="2">
        <f>'Goldin Unmatched'!G85</f>
        <v/>
      </c>
      <c r="D5" s="2">
        <f>'Goldin Unmatched'!H85</f>
        <v/>
      </c>
      <c r="E5" s="4">
        <f>IF(C5&gt;0,D5/C5,"")</f>
        <v/>
      </c>
    </row>
    <row r="6">
      <c r="A6" t="inlineStr">
        <is>
          <t>Fanatics Collect (matched)</t>
        </is>
      </c>
      <c r="B6" s="2">
        <f>'FC Matched'!E63</f>
        <v/>
      </c>
      <c r="C6" s="2">
        <f>'FC Matched'!K63</f>
        <v/>
      </c>
      <c r="D6" s="2">
        <f>'FC Matched'!L63</f>
        <v/>
      </c>
      <c r="E6" s="4">
        <f>IF(C6&gt;0,D6/C6,"")</f>
        <v/>
      </c>
    </row>
    <row r="7">
      <c r="A7" t="inlineStr">
        <is>
          <t>Fanatics Collect (unmatched)</t>
        </is>
      </c>
      <c r="B7" s="2">
        <f>'FC Unmatched'!E29</f>
        <v/>
      </c>
      <c r="C7" s="2">
        <f>'FC Unmatched'!H29</f>
        <v/>
      </c>
      <c r="D7" s="2">
        <f>'FC Unmatched'!I29</f>
        <v/>
      </c>
      <c r="E7" s="4">
        <f>IF(C7&gt;0,D7/C7,"")</f>
        <v/>
      </c>
    </row>
    <row r="8">
      <c r="A8" t="inlineStr">
        <is>
          <t>Whatnot/Fanatics (matched)</t>
        </is>
      </c>
      <c r="B8" s="2">
        <f>'Whatnot Matched'!E142</f>
        <v/>
      </c>
      <c r="C8" s="2">
        <f>'Whatnot Matched'!J142</f>
        <v/>
      </c>
      <c r="D8" s="2">
        <f>'Whatnot Matched'!K142</f>
        <v/>
      </c>
      <c r="E8" s="4">
        <f>IF(C8&gt;0,D8/C8,"")</f>
        <v/>
      </c>
    </row>
    <row r="9">
      <c r="A9" t="inlineStr">
        <is>
          <t>Whatnot/Fanatics (unmatched)</t>
        </is>
      </c>
      <c r="B9" s="2">
        <f>'Whatnot Unmatched'!E96</f>
        <v/>
      </c>
      <c r="C9" s="2">
        <f>'Whatnot Unmatched'!H96</f>
        <v/>
      </c>
      <c r="D9" s="2">
        <f>'Whatnot Unmatched'!I96</f>
        <v/>
      </c>
      <c r="E9" s="4">
        <f>IF(C9&gt;0,D9/C9,"")</f>
        <v/>
      </c>
    </row>
    <row r="11">
      <c r="A11" s="11" t="inlineStr">
        <is>
          <t>TOTAL (ALL PLATFORMS)</t>
        </is>
      </c>
      <c r="B11" s="12">
        <f>SUM(B4:B9)</f>
        <v/>
      </c>
      <c r="C11" s="12">
        <f>SUM(C4:C9)</f>
        <v/>
      </c>
      <c r="D11" s="12">
        <f>SUM(D4:D9)</f>
        <v/>
      </c>
      <c r="E11" s="13">
        <f>IF(C11&gt;0,D11/C11,"")</f>
        <v/>
      </c>
    </row>
    <row r="13">
      <c r="A13" t="inlineStr">
        <is>
          <t>eBay Total Purchases (cost basis pool)</t>
        </is>
      </c>
      <c r="B13" s="2" t="n">
        <v>2375205</v>
      </c>
    </row>
    <row r="14">
      <c r="A14" t="inlineStr">
        <is>
          <t>Cost basis in unsold inventory</t>
        </is>
      </c>
      <c r="B14" s="2">
        <f>B13-C11</f>
        <v/>
      </c>
    </row>
    <row r="16">
      <c r="A16" s="1" t="inlineStr">
        <is>
          <t>NOTES:</t>
        </is>
      </c>
    </row>
    <row r="17">
      <c r="A17" t="inlineStr">
        <is>
          <t>Yellow columns = enter your actual eBay cost to correct bad auto-matches</t>
        </is>
      </c>
    </row>
    <row r="18">
      <c r="A18" t="inlineStr">
        <is>
          <t>Fanatics Collect = PSA Vault / fanaticscollect.com Buy Now sales (6-12% seller fee)</t>
        </is>
      </c>
    </row>
    <row r="19">
      <c r="A19" t="inlineStr">
        <is>
          <t>Whatnot/Fanatics = live auction sales (Whatnot platform, now owned by Fanatics)</t>
        </is>
      </c>
    </row>
    <row r="20">
      <c r="A20" t="inlineStr">
        <is>
          <t>Goldin = auction consignment (seller gets hammer x 1.15)</t>
        </is>
      </c>
    </row>
    <row r="21">
      <c r="A21" s="14" t="inlineStr">
        <is>
          <t>IMPORTANT: Many auto-matched eBay costs are WRONG. Verify before filing taxes.</t>
        </is>
      </c>
    </row>
    <row r="22">
      <c r="A22" t="inlineStr">
        <is>
          <t>4 Fanatics Collect sales still awaiting buyer payment (show $0 net)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2026-06-24T20:11:46Z</dcterms:created>
  <dcterms:modified xsi:type="dcterms:W3CDTF">2026-06-24T20:22:38Z</dcterms:modified>
</cp:coreProperties>
</file>
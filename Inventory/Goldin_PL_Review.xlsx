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ldin P&amp;L Review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0000"/>
    </font>
    <font>
      <b val="1"/>
      <sz val="12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4" fontId="0" fillId="0" borderId="0" pivotButton="0" quotePrefix="0" xfId="0"/>
    <xf numFmtId="0" fontId="0" fillId="4" borderId="0" pivotButton="0" quotePrefix="0" xfId="0"/>
    <xf numFmtId="4" fontId="2" fillId="3" borderId="0" pivotButton="0" quotePrefix="0" xfId="0"/>
    <xf numFmtId="164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2" fillId="0" borderId="0" pivotButton="0" quotePrefix="0" xfId="0"/>
    <xf numFmtId="4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5" customWidth="1" min="2" max="2"/>
    <col width="65" customWidth="1" min="3" max="3"/>
    <col width="35" customWidth="1" min="4" max="4"/>
    <col width="18" customWidth="1" min="5" max="5"/>
    <col width="14" customWidth="1" min="6" max="6"/>
    <col width="18" customWidth="1" min="7" max="7"/>
    <col width="60" customWidth="1" min="8" max="8"/>
    <col width="18" customWidth="1" min="9" max="9"/>
    <col width="12" customWidth="1" min="10" max="10"/>
    <col width="22" customWidth="1" min="11" max="11"/>
    <col width="16" customWidth="1" min="12" max="12"/>
    <col width="12" customWidth="1" min="13" max="13"/>
    <col width="10" customWidth="1" min="14" max="14"/>
    <col width="30" customWidth="1" min="15" max="15"/>
  </cols>
  <sheetData>
    <row r="1">
      <c r="A1" s="1" t="inlineStr">
        <is>
          <t>Row #</t>
        </is>
      </c>
      <c r="B1" s="1" t="inlineStr">
        <is>
          <t>Player</t>
        </is>
      </c>
      <c r="C1" s="1" t="inlineStr">
        <is>
          <t>Goldin Card Title</t>
        </is>
      </c>
      <c r="D1" s="1" t="inlineStr">
        <is>
          <t>Auction</t>
        </is>
      </c>
      <c r="E1" s="1" t="inlineStr">
        <is>
          <t>Goldin Final Price (w/ BP)</t>
        </is>
      </c>
      <c r="F1" s="1" t="inlineStr">
        <is>
          <t>Hammer Price</t>
        </is>
      </c>
      <c r="G1" s="1" t="inlineStr">
        <is>
          <t>Seller Proceeds (1.15×)</t>
        </is>
      </c>
      <c r="H1" s="1" t="inlineStr">
        <is>
          <t>Auto-Matched eBay Item</t>
        </is>
      </c>
      <c r="I1" s="1" t="inlineStr">
        <is>
          <t>Auto-Matched eBay Cost</t>
        </is>
      </c>
      <c r="J1" s="1" t="inlineStr">
        <is>
          <t>Match Score (higher=better)</t>
        </is>
      </c>
      <c r="K1" s="1" t="inlineStr">
        <is>
          <t>CORRECTED COST ← EDIT THIS</t>
        </is>
      </c>
      <c r="L1" s="1" t="inlineStr">
        <is>
          <t>Final Cost Basis</t>
        </is>
      </c>
      <c r="M1" s="1" t="inlineStr">
        <is>
          <t>P&amp;L</t>
        </is>
      </c>
      <c r="N1" s="1" t="inlineStr">
        <is>
          <t>Return %</t>
        </is>
      </c>
      <c r="O1" s="1" t="inlineStr">
        <is>
          <t>Notes</t>
        </is>
      </c>
    </row>
    <row r="2">
      <c r="A2" t="n">
        <v>1</v>
      </c>
      <c r="B2" t="inlineStr">
        <is>
          <t>Aaron Judge</t>
        </is>
      </c>
      <c r="C2" t="inlineStr">
        <is>
          <t>2025 Panini NSCC VIP Gold Prizm #43 Aaron Judge (#02/10) - PSA GEM MT 10 - Pop 3</t>
        </is>
      </c>
      <c r="D2" t="inlineStr">
        <is>
          <t>2026 April Elite Auction</t>
        </is>
      </c>
      <c r="E2" s="2" t="n">
        <v>375</v>
      </c>
      <c r="F2" s="2" t="n">
        <v>307.3770491803279</v>
      </c>
      <c r="G2" s="2" t="n">
        <v>353.4836065573771</v>
      </c>
      <c r="H2" t="inlineStr">
        <is>
          <t>2025 Panini National VIP Gold Pack Aaron Judge Red Ice /99 Yankees #43</t>
        </is>
      </c>
      <c r="I2" s="2" t="n">
        <v>52</v>
      </c>
      <c r="J2" s="3" t="n">
        <v>8.5</v>
      </c>
      <c r="K2" s="4" t="n"/>
      <c r="L2" s="2">
        <f>IF(K2&lt;&gt;"",K2,I2)</f>
        <v/>
      </c>
      <c r="M2" s="2">
        <f>G2-L2</f>
        <v/>
      </c>
      <c r="N2" s="5">
        <f>IF(L2&gt;0,M2/L2,"")</f>
        <v/>
      </c>
    </row>
    <row r="3">
      <c r="A3" t="n">
        <v>2</v>
      </c>
      <c r="B3" t="inlineStr">
        <is>
          <t>Allen Iverson</t>
        </is>
      </c>
      <c r="C3" t="inlineStr">
        <is>
          <t>2024-25 Panini Prizm Black Gold Prizm #262 Allen Iverson (#03/10) - Jersey Number - PSA GEM MT 10 - Pop 2</t>
        </is>
      </c>
      <c r="D3" t="inlineStr">
        <is>
          <t>2026 Weekly Auction Mar 24 - Apr 2</t>
        </is>
      </c>
      <c r="E3" s="2" t="n">
        <v>730</v>
      </c>
      <c r="F3" s="2" t="n">
        <v>598.360655737705</v>
      </c>
      <c r="G3" s="2" t="n">
        <v>688.1147540983607</v>
      </c>
      <c r="H3" t="inlineStr">
        <is>
          <t>2024-25 Prizm Black Allen Iverson Legends Gold Prizm #3/10 76ers PSA 10</t>
        </is>
      </c>
      <c r="I3" s="2" t="n">
        <v>655.99</v>
      </c>
      <c r="J3" s="3" t="n">
        <v>8.5</v>
      </c>
      <c r="K3" s="4" t="n"/>
      <c r="L3" s="2">
        <f>IF(K3&lt;&gt;"",K3,I3)</f>
        <v/>
      </c>
      <c r="M3" s="2">
        <f>G3-L3</f>
        <v/>
      </c>
      <c r="N3" s="5">
        <f>IF(L3&gt;0,M3/L3,"")</f>
        <v/>
      </c>
    </row>
    <row r="4">
      <c r="A4" t="n">
        <v>3</v>
      </c>
      <c r="B4" t="inlineStr">
        <is>
          <t>Anthony Davis</t>
        </is>
      </c>
      <c r="C4" t="inlineStr">
        <is>
          <t>2023-24 Panini Immaculate Collection Patch Autographs Red #IPA-DAV Anthony Davis Signed Patch Card (#02/15) - Panini Encased</t>
        </is>
      </c>
      <c r="D4" t="inlineStr">
        <is>
          <t>2026 Weekly Auction Mar 24 - Apr 2</t>
        </is>
      </c>
      <c r="E4" s="2" t="n">
        <v>182</v>
      </c>
      <c r="F4" s="2" t="n">
        <v>149.1803278688525</v>
      </c>
      <c r="G4" s="2" t="n">
        <v>171.5573770491803</v>
      </c>
      <c r="H4" t="inlineStr">
        <is>
          <t>2023-24 Panini Immaculate Anthony Davis Game Used Patch Auto #2/15 Lakers</t>
        </is>
      </c>
      <c r="I4" s="2" t="n">
        <v>266.99</v>
      </c>
      <c r="J4" s="3" t="n">
        <v>8</v>
      </c>
      <c r="K4" s="4" t="n"/>
      <c r="L4" s="2">
        <f>IF(K4&lt;&gt;"",K4,I4)</f>
        <v/>
      </c>
      <c r="M4" s="2">
        <f>G4-L4</f>
        <v/>
      </c>
      <c r="N4" s="5">
        <f>IF(L4&gt;0,M4/L4,"")</f>
        <v/>
      </c>
    </row>
    <row r="5">
      <c r="A5" t="n">
        <v>4</v>
      </c>
      <c r="B5" t="inlineStr">
        <is>
          <t>Anthony Davis</t>
        </is>
      </c>
      <c r="C5" t="inlineStr">
        <is>
          <t>2024-25 Panini Flawless Gold #186 Anthony Davis Diamond Relic Card (#5/5) - PSA MINT 9 - Pop 1</t>
        </is>
      </c>
      <c r="D5" t="inlineStr">
        <is>
          <t>2026 April Elite Auction</t>
        </is>
      </c>
      <c r="E5" s="2" t="n">
        <v>120</v>
      </c>
      <c r="F5" s="2" t="n">
        <v>98.36065573770492</v>
      </c>
      <c r="G5" s="2" t="n">
        <v>113.1147540983606</v>
      </c>
      <c r="H5" t="inlineStr">
        <is>
          <t>ANTHONY DAVIS 2024-25 PANINI FLAWLESS #186 ALL-NBA DIAMOND GEM GOLD /5 MAVERICKS</t>
        </is>
      </c>
      <c r="I5" s="2" t="n">
        <v>477.5</v>
      </c>
      <c r="J5" s="3" t="n">
        <v>12.5</v>
      </c>
      <c r="K5" s="4" t="n"/>
      <c r="L5" s="2">
        <f>IF(K5&lt;&gt;"",K5,I5)</f>
        <v/>
      </c>
      <c r="M5" s="2">
        <f>G5-L5</f>
        <v/>
      </c>
      <c r="N5" s="5">
        <f>IF(L5&gt;0,M5/L5,"")</f>
        <v/>
      </c>
    </row>
    <row r="6">
      <c r="A6" t="n">
        <v>5</v>
      </c>
      <c r="B6" t="inlineStr">
        <is>
          <t>Anthony Edwards</t>
        </is>
      </c>
      <c r="C6" t="inlineStr">
        <is>
          <t>2020-21 Donruss Optic Autograph Choice #151 Anthony Edwards Signed Rookie Card - PSA GEM MT 10</t>
        </is>
      </c>
      <c r="D6" t="inlineStr">
        <is>
          <t>2026 Weekly Auction Mar 24 - Apr 2</t>
        </is>
      </c>
      <c r="E6" s="2" t="n">
        <v>1975</v>
      </c>
      <c r="F6" s="2" t="n">
        <v>1618.852459016393</v>
      </c>
      <c r="G6" s="2" t="n">
        <v>1861.680327868852</v>
      </c>
      <c r="H6" t="inlineStr">
        <is>
          <t>2020-21 Donruss Optic- Rated Rookie Red Pulsar Prizm #151 Anthony Edwards PSA 10</t>
        </is>
      </c>
      <c r="I6" s="2" t="n">
        <v>368.75</v>
      </c>
      <c r="J6" s="3" t="n">
        <v>11</v>
      </c>
      <c r="K6" s="4" t="n"/>
      <c r="L6" s="2">
        <f>IF(K6&lt;&gt;"",K6,I6)</f>
        <v/>
      </c>
      <c r="M6" s="2">
        <f>G6-L6</f>
        <v/>
      </c>
      <c r="N6" s="5">
        <f>IF(L6&gt;0,M6/L6,"")</f>
        <v/>
      </c>
    </row>
    <row r="7">
      <c r="A7" t="n">
        <v>6</v>
      </c>
      <c r="B7" t="inlineStr">
        <is>
          <t>Anthony Edwards</t>
        </is>
      </c>
      <c r="C7" t="inlineStr">
        <is>
          <t>2020-21 Panini Flawless Draft Gem Signatures Ruby #DG-AEW Anthony Edwards Signed Rookie Card (#15/15) - Panini Encased</t>
        </is>
      </c>
      <c r="D7" t="inlineStr">
        <is>
          <t>2026 Weekly Auction Mar 24 - Apr 2</t>
        </is>
      </c>
      <c r="E7" s="2" t="n">
        <v>2262</v>
      </c>
      <c r="F7" s="2" t="n">
        <v>1854.098360655738</v>
      </c>
      <c r="G7" s="2" t="n">
        <v>2132.213114754098</v>
      </c>
      <c r="H7" t="inlineStr">
        <is>
          <t>2020-21 Panini Flawless Anthony Edwards Momentous Auto Ruby RC Rookie /15</t>
        </is>
      </c>
      <c r="I7" s="2" t="n">
        <v>3177.99</v>
      </c>
      <c r="J7" s="3" t="n">
        <v>8</v>
      </c>
      <c r="K7" s="4" t="n"/>
      <c r="L7" s="2">
        <f>IF(K7&lt;&gt;"",K7,I7)</f>
        <v/>
      </c>
      <c r="M7" s="2">
        <f>G7-L7</f>
        <v/>
      </c>
      <c r="N7" s="5">
        <f>IF(L7&gt;0,M7/L7,"")</f>
        <v/>
      </c>
    </row>
    <row r="8">
      <c r="A8" t="n">
        <v>7</v>
      </c>
      <c r="B8" t="inlineStr">
        <is>
          <t>Anthony Edwards</t>
        </is>
      </c>
      <c r="C8" t="inlineStr">
        <is>
          <t>2020-21 Panini National Treasures Rookie Private Signings Association #PSA-AED Anthony Edwards Signed Rookie Card - PSA MINT 9 - Pop 4</t>
        </is>
      </c>
      <c r="D8" t="inlineStr">
        <is>
          <t>2026 Weekly Auction Mar 24 - Apr 2</t>
        </is>
      </c>
      <c r="E8" s="2" t="n">
        <v>1000</v>
      </c>
      <c r="F8" s="2" t="n">
        <v>819.672131147541</v>
      </c>
      <c r="G8" s="2" t="n">
        <v>942.622950819672</v>
      </c>
      <c r="H8" t="inlineStr">
        <is>
          <t>2020-21 Donruss Optic Black Velocity Anthony Edwards Rated Rookie RC /39 PSA 10</t>
        </is>
      </c>
      <c r="I8" s="2" t="n">
        <v>4289.99</v>
      </c>
      <c r="J8" s="6" t="n">
        <v>4</v>
      </c>
      <c r="K8" s="4" t="n"/>
      <c r="L8" s="2">
        <f>IF(K8&lt;&gt;"",K8,I8)</f>
        <v/>
      </c>
      <c r="M8" s="2">
        <f>G8-L8</f>
        <v/>
      </c>
      <c r="N8" s="5">
        <f>IF(L8&gt;0,M8/L8,"")</f>
        <v/>
      </c>
    </row>
    <row r="9">
      <c r="A9" t="n">
        <v>8</v>
      </c>
      <c r="B9" t="inlineStr">
        <is>
          <t>Anthony Edwards</t>
        </is>
      </c>
      <c r="C9" t="inlineStr">
        <is>
          <t>2020-21 Panini One and One Rookie Dual Jersey Autograph #RDJ-AED Anthony Edwards Signed Relic Rookie Card (#90/99) - PSA MINT 9, PSA/DNA GEM MT 10</t>
        </is>
      </c>
      <c r="D9" t="inlineStr">
        <is>
          <t>2026 Weekly Auction Mar 24 - Apr 2</t>
        </is>
      </c>
      <c r="E9" s="2" t="n">
        <v>950</v>
      </c>
      <c r="F9" s="2" t="n">
        <v>778.688524590164</v>
      </c>
      <c r="G9" s="2" t="n">
        <v>895.4918032786885</v>
      </c>
      <c r="H9" t="inlineStr">
        <is>
          <t>2020-21 One And One Anthony Edwards RC Dual Jersey Patch Auto RJA /99 PSA 9/10</t>
        </is>
      </c>
      <c r="I9" s="2" t="n">
        <v>1868.32</v>
      </c>
      <c r="J9" s="3" t="n">
        <v>8</v>
      </c>
      <c r="K9" s="4" t="n"/>
      <c r="L9" s="2">
        <f>IF(K9&lt;&gt;"",K9,I9)</f>
        <v/>
      </c>
      <c r="M9" s="2">
        <f>G9-L9</f>
        <v/>
      </c>
      <c r="N9" s="5">
        <f>IF(L9&gt;0,M9/L9,"")</f>
        <v/>
      </c>
    </row>
    <row r="10">
      <c r="A10" t="n">
        <v>9</v>
      </c>
      <c r="B10" t="inlineStr">
        <is>
          <t>Anthony Edwards</t>
        </is>
      </c>
      <c r="C10" t="inlineStr">
        <is>
          <t>2020-21 Panini One and One Rookie Jersey Autographs Blue #RJA-AED Anthony Edwards Signed Patch Rookie Card (#26/35) - PSA Authentic, PSA/DNA GEM MT 10</t>
        </is>
      </c>
      <c r="D10" t="inlineStr">
        <is>
          <t>2026 Weekly Auction Mar 24 - Apr 2</t>
        </is>
      </c>
      <c r="E10" s="2" t="n">
        <v>1850</v>
      </c>
      <c r="F10" s="2" t="n">
        <v>1516.393442622951</v>
      </c>
      <c r="G10" s="2" t="n">
        <v>1743.852459016393</v>
      </c>
      <c r="H10" t="inlineStr">
        <is>
          <t>2020-21 One And One Anthony Edwards Purple RC Patch RPA /35 PSA 10 Auto POP 2</t>
        </is>
      </c>
      <c r="I10" s="2" t="n">
        <v>2081.93</v>
      </c>
      <c r="J10" s="3" t="n">
        <v>8.5</v>
      </c>
      <c r="K10" s="4" t="n"/>
      <c r="L10" s="2">
        <f>IF(K10&lt;&gt;"",K10,I10)</f>
        <v/>
      </c>
      <c r="M10" s="2">
        <f>G10-L10</f>
        <v/>
      </c>
      <c r="N10" s="5">
        <f>IF(L10&gt;0,M10/L10,"")</f>
        <v/>
      </c>
    </row>
    <row r="11">
      <c r="A11" t="n">
        <v>10</v>
      </c>
      <c r="B11" t="inlineStr">
        <is>
          <t>Anthony Edwards</t>
        </is>
      </c>
      <c r="C11" t="inlineStr">
        <is>
          <t>2020-21 Panini Prizm Draft Picks Tiger Stripe Choice Prizm #41 Anthony Edwards Rookie Card - PSA GEM MT 10</t>
        </is>
      </c>
      <c r="D11" t="inlineStr">
        <is>
          <t>2026 April Elite Auction</t>
        </is>
      </c>
      <c r="E11" s="2" t="n">
        <v>276</v>
      </c>
      <c r="F11" s="2" t="n">
        <v>226.2295081967213</v>
      </c>
      <c r="G11" s="2" t="n">
        <v>260.1639344262295</v>
      </c>
      <c r="H11" t="inlineStr">
        <is>
          <t>2020-21 Donruss Optic- Rated Rookie Red Pulsar Prizm #151 Anthony Edwards PSA 10</t>
        </is>
      </c>
      <c r="I11" s="2" t="n">
        <v>368.75</v>
      </c>
      <c r="J11" s="7" t="n">
        <v>6.5</v>
      </c>
      <c r="K11" s="4" t="n"/>
      <c r="L11" s="2">
        <f>IF(K11&lt;&gt;"",K11,I11)</f>
        <v/>
      </c>
      <c r="M11" s="2">
        <f>G11-L11</f>
        <v/>
      </c>
      <c r="N11" s="5">
        <f>IF(L11&gt;0,M11/L11,"")</f>
        <v/>
      </c>
    </row>
    <row r="12">
      <c r="A12" t="n">
        <v>11</v>
      </c>
      <c r="B12" t="inlineStr">
        <is>
          <t>Anthony Edwards</t>
        </is>
      </c>
      <c r="C12" t="inlineStr">
        <is>
          <t>2020-21 Panini Prizm Orange Ice Prizm #258 Anthony Edwards Rookie Card - PSA GEM MT 10</t>
        </is>
      </c>
      <c r="D12" t="inlineStr">
        <is>
          <t>2026 Weekly Auction Mar 31 - Apr 9</t>
        </is>
      </c>
      <c r="E12" s="2" t="n">
        <v>375</v>
      </c>
      <c r="F12" s="2" t="n">
        <v>307.3770491803279</v>
      </c>
      <c r="G12" s="2" t="n">
        <v>353.4836065573771</v>
      </c>
      <c r="H12" t="inlineStr">
        <is>
          <t>2020  Panini Prizm Anthony Edwards Rookie Card #258 RC Rookie Orange Ice PSA 10</t>
        </is>
      </c>
      <c r="I12" s="2" t="n">
        <v>430.77</v>
      </c>
      <c r="J12" s="3" t="n">
        <v>9</v>
      </c>
      <c r="K12" s="4" t="n"/>
      <c r="L12" s="2">
        <f>IF(K12&lt;&gt;"",K12,I12)</f>
        <v/>
      </c>
      <c r="M12" s="2">
        <f>G12-L12</f>
        <v/>
      </c>
      <c r="N12" s="5">
        <f>IF(L12&gt;0,M12/L12,"")</f>
        <v/>
      </c>
    </row>
    <row r="13">
      <c r="A13" t="n">
        <v>12</v>
      </c>
      <c r="B13" t="inlineStr">
        <is>
          <t>Anthony Edwards</t>
        </is>
      </c>
      <c r="C13" t="inlineStr">
        <is>
          <t>2021-22 Panini Donruss Optic Fast Break Signatures Gold #FB-AEW Anthony Edwards Signed Card (#04/10) - PSA MINT 9 - Pop 3</t>
        </is>
      </c>
      <c r="D13" t="inlineStr">
        <is>
          <t>2026 Weekly Auction Mar 24 - Apr 2</t>
        </is>
      </c>
      <c r="E13" s="2" t="n">
        <v>755</v>
      </c>
      <c r="F13" s="2" t="n">
        <v>618.8524590163935</v>
      </c>
      <c r="G13" s="2" t="n">
        <v>711.6803278688525</v>
      </c>
      <c r="H13" t="inlineStr">
        <is>
          <t>2021-2022 Optic ANTHONY EDWARDS Gold Fast Break Auto /10 PSA 9 Timberwolves</t>
        </is>
      </c>
      <c r="I13" s="2" t="n">
        <v>1058.55</v>
      </c>
      <c r="J13" s="7" t="n">
        <v>5.5</v>
      </c>
      <c r="K13" s="4" t="n"/>
      <c r="L13" s="2">
        <f>IF(K13&lt;&gt;"",K13,I13)</f>
        <v/>
      </c>
      <c r="M13" s="2">
        <f>G13-L13</f>
        <v/>
      </c>
      <c r="N13" s="5">
        <f>IF(L13&gt;0,M13/L13,"")</f>
        <v/>
      </c>
    </row>
    <row r="14">
      <c r="A14" t="n">
        <v>13</v>
      </c>
      <c r="B14" t="inlineStr">
        <is>
          <t>Anthony Edwards</t>
        </is>
      </c>
      <c r="C14" t="inlineStr">
        <is>
          <t>2021-22 Panini Prizm Tiger Stripes Choice Prizm #37 Anthony Edwards - PSA GEM MT 10</t>
        </is>
      </c>
      <c r="D14" t="inlineStr">
        <is>
          <t>2026 Weekly Auction Mar 31 - Apr 9</t>
        </is>
      </c>
      <c r="E14" s="2" t="n">
        <v>1500</v>
      </c>
      <c r="F14" s="2" t="n">
        <v>1229.508196721312</v>
      </c>
      <c r="G14" s="2" t="n">
        <v>1413.934426229508</v>
      </c>
      <c r="H14" t="inlineStr">
        <is>
          <t>Anthony Edwards PSA 10 2021-22 Panini Prizm Choice Tiger Stripe Timberwolves #37</t>
        </is>
      </c>
      <c r="I14" s="2" t="n">
        <v>2151</v>
      </c>
      <c r="J14" s="3" t="n">
        <v>11</v>
      </c>
      <c r="K14" s="4" t="n"/>
      <c r="L14" s="2">
        <f>IF(K14&lt;&gt;"",K14,I14)</f>
        <v/>
      </c>
      <c r="M14" s="2">
        <f>G14-L14</f>
        <v/>
      </c>
      <c r="N14" s="5">
        <f>IF(L14&gt;0,M14/L14,"")</f>
        <v/>
      </c>
    </row>
    <row r="15">
      <c r="A15" t="n">
        <v>14</v>
      </c>
      <c r="B15" t="inlineStr">
        <is>
          <t>Anthony Edwards</t>
        </is>
      </c>
      <c r="C15" t="inlineStr">
        <is>
          <t>2024-25 Panini One and One Blue #7 Anthony Edwards (#06/35) - Panini Encased</t>
        </is>
      </c>
      <c r="D15" t="inlineStr">
        <is>
          <t>2026 February Elite Auction</t>
        </is>
      </c>
      <c r="E15" s="2" t="n">
        <v>150</v>
      </c>
      <c r="F15" s="2" t="n">
        <v>122.9508196721311</v>
      </c>
      <c r="G15" s="2" t="n">
        <v>141.3934426229508</v>
      </c>
      <c r="H15" t="inlineStr">
        <is>
          <t>2024-25 Panini One And One - Veterans Blue #7 Anthony Edwards /35 SEALED</t>
        </is>
      </c>
      <c r="I15" s="2" t="n">
        <v>121.9</v>
      </c>
      <c r="J15" s="7" t="n">
        <v>7.5</v>
      </c>
      <c r="K15" s="4" t="n"/>
      <c r="L15" s="2">
        <f>IF(K15&lt;&gt;"",K15,I15)</f>
        <v/>
      </c>
      <c r="M15" s="2">
        <f>G15-L15</f>
        <v/>
      </c>
      <c r="N15" s="5">
        <f>IF(L15&gt;0,M15/L15,"")</f>
        <v/>
      </c>
    </row>
    <row r="16">
      <c r="A16" t="n">
        <v>15</v>
      </c>
      <c r="B16" t="inlineStr">
        <is>
          <t>Cade Cunningham</t>
        </is>
      </c>
      <c r="C16" t="inlineStr">
        <is>
          <t>2021-22 Panini Chronicles Hometown Heroes Gold #HHR-CCU Cade Cunningham Signed Rookie Card (#01/10) - Panini Encased</t>
        </is>
      </c>
      <c r="D16" t="inlineStr">
        <is>
          <t>2026 Weekly Auction Apr 21 - Apr 30</t>
        </is>
      </c>
      <c r="E16" s="2" t="n">
        <v>430</v>
      </c>
      <c r="F16" s="2" t="n">
        <v>352.4590163934427</v>
      </c>
      <c r="G16" s="2" t="n">
        <v>405.327868852459</v>
      </c>
      <c r="H16" t="inlineStr">
        <is>
          <t>2021-22 Panini Hometown Heroes Cade Cunningham Rookie Auto Gold 1/10! Sealed!</t>
        </is>
      </c>
      <c r="I16" s="2" t="n">
        <v>431</v>
      </c>
      <c r="J16" s="7" t="n">
        <v>6.5</v>
      </c>
      <c r="K16" s="4" t="n"/>
      <c r="L16" s="2">
        <f>IF(K16&lt;&gt;"",K16,I16)</f>
        <v/>
      </c>
      <c r="M16" s="2">
        <f>G16-L16</f>
        <v/>
      </c>
      <c r="N16" s="5">
        <f>IF(L16&gt;0,M16/L16,"")</f>
        <v/>
      </c>
    </row>
    <row r="17">
      <c r="A17" t="n">
        <v>16</v>
      </c>
      <c r="B17" t="inlineStr">
        <is>
          <t>Caitlin Clark</t>
        </is>
      </c>
      <c r="C17" t="inlineStr">
        <is>
          <t>2022-23 Bowman University Best of 2022 Autograph #BOA-CC Caitlin Clark Signed Rookie Card - PSA GEM MT 10</t>
        </is>
      </c>
      <c r="D17" t="inlineStr">
        <is>
          <t>2026 April Elite Auction</t>
        </is>
      </c>
      <c r="E17" s="2" t="n">
        <v>1100</v>
      </c>
      <c r="F17" s="2" t="n">
        <v>901.6393442622951</v>
      </c>
      <c r="G17" s="2" t="n">
        <v>1036.885245901639</v>
      </c>
      <c r="H17" t="inlineStr">
        <is>
          <t>2022-23 Bowman University Best Caitlin Clark Best of 2022 Auto #BOA-CC PSA 10</t>
        </is>
      </c>
      <c r="I17" s="2" t="n">
        <v>1573.99</v>
      </c>
      <c r="J17" s="3" t="n">
        <v>11</v>
      </c>
      <c r="K17" s="4" t="n"/>
      <c r="L17" s="2">
        <f>IF(K17&lt;&gt;"",K17,I17)</f>
        <v/>
      </c>
      <c r="M17" s="2">
        <f>G17-L17</f>
        <v/>
      </c>
      <c r="N17" s="5">
        <f>IF(L17&gt;0,M17/L17,"")</f>
        <v/>
      </c>
    </row>
    <row r="18">
      <c r="A18" t="n">
        <v>17</v>
      </c>
      <c r="B18" t="inlineStr">
        <is>
          <t>Caitlin Clark</t>
        </is>
      </c>
      <c r="C18" t="inlineStr">
        <is>
          <t>2023-24 Bowman Chrome U 2007-08 Bowman Gold #07B-22 Caitlin Clark Rookie Card (#32/50) - PSA GEM MT 10</t>
        </is>
      </c>
      <c r="D18" t="inlineStr">
        <is>
          <t>2026 Weekly Auction Mar 24 - Apr 2</t>
        </is>
      </c>
      <c r="E18" s="2" t="n">
        <v>721</v>
      </c>
      <c r="F18" s="2" t="n">
        <v>590.983606557377</v>
      </c>
      <c r="G18" s="2" t="n">
        <v>679.6311475409835</v>
      </c>
      <c r="H18" t="inlineStr">
        <is>
          <t>2022-23 Bowman U Inception Caitlin Clark Gold V2 Foil Auto /50 #BIA-CC PSA 10</t>
        </is>
      </c>
      <c r="I18" s="2" t="n">
        <v>3929.99</v>
      </c>
      <c r="J18" s="7" t="n">
        <v>5</v>
      </c>
      <c r="K18" s="4" t="n"/>
      <c r="L18" s="2">
        <f>IF(K18&lt;&gt;"",K18,I18)</f>
        <v/>
      </c>
      <c r="M18" s="2">
        <f>G18-L18</f>
        <v/>
      </c>
      <c r="N18" s="5">
        <f>IF(L18&gt;0,M18/L18,"")</f>
        <v/>
      </c>
    </row>
    <row r="19">
      <c r="A19" t="n">
        <v>18</v>
      </c>
      <c r="B19" t="inlineStr">
        <is>
          <t>Caitlin Clark</t>
        </is>
      </c>
      <c r="C19" t="inlineStr">
        <is>
          <t>2023-24 Bowman U Best of 2023 Autograph Geometric Red Refractor #B23-CC Caitlin Clark Signed Rookie Card (#01/10) - PSA MINT 9, PSA/DNA GEM MT 10</t>
        </is>
      </c>
      <c r="D19" t="inlineStr">
        <is>
          <t>2026 Weekly Auction Mar 24 - Apr 2</t>
        </is>
      </c>
      <c r="E19" s="2" t="n">
        <v>2300</v>
      </c>
      <c r="F19" s="2" t="n">
        <v>1885.245901639344</v>
      </c>
      <c r="G19" s="2" t="n">
        <v>2168.032786885246</v>
      </c>
      <c r="H19" t="inlineStr">
        <is>
          <t>2023 Bowman U Best CAITLIN CLARK Geo Red Refractor Auto /10 PSA 9/10 Iowa Fever</t>
        </is>
      </c>
      <c r="I19" s="2" t="n">
        <v>2708.55</v>
      </c>
      <c r="J19" s="7" t="n">
        <v>6</v>
      </c>
      <c r="K19" s="4" t="n"/>
      <c r="L19" s="2">
        <f>IF(K19&lt;&gt;"",K19,I19)</f>
        <v/>
      </c>
      <c r="M19" s="2">
        <f>G19-L19</f>
        <v/>
      </c>
      <c r="N19" s="5">
        <f>IF(L19&gt;0,M19/L19,"")</f>
        <v/>
      </c>
    </row>
    <row r="20">
      <c r="A20" t="n">
        <v>19</v>
      </c>
      <c r="B20" t="inlineStr">
        <is>
          <t>Caitlin Clark</t>
        </is>
      </c>
      <c r="C20" t="inlineStr">
        <is>
          <t>2024 Panini NSCC VIP Gold Purple Sparkle #1 Caitlin Clark Rookie Card (#32/49) - PSA NM-MT 8</t>
        </is>
      </c>
      <c r="D20" t="inlineStr">
        <is>
          <t>2026 Weekly Auction Mar 24 - Apr 2</t>
        </is>
      </c>
      <c r="E20" s="2" t="n">
        <v>155</v>
      </c>
      <c r="F20" s="2" t="n">
        <v>127.0491803278689</v>
      </c>
      <c r="G20" s="2" t="n">
        <v>146.1065573770492</v>
      </c>
      <c r="H20" t="inlineStr">
        <is>
          <t>CAITLIN CLARK 2024 Panini National VIP Gold Pack PURPLE CRACKED ICE RC 32/49 PSA</t>
        </is>
      </c>
      <c r="I20" s="2" t="n">
        <v>429.76</v>
      </c>
      <c r="J20" s="3" t="n">
        <v>11</v>
      </c>
      <c r="K20" s="4" t="n"/>
      <c r="L20" s="2">
        <f>IF(K20&lt;&gt;"",K20,I20)</f>
        <v/>
      </c>
      <c r="M20" s="2">
        <f>G20-L20</f>
        <v/>
      </c>
      <c r="N20" s="5">
        <f>IF(L20&gt;0,M20/L20,"")</f>
        <v/>
      </c>
    </row>
    <row r="21">
      <c r="A21" t="n">
        <v>20</v>
      </c>
      <c r="B21" t="inlineStr">
        <is>
          <t>Caitlin Clark</t>
        </is>
      </c>
      <c r="C21" t="inlineStr">
        <is>
          <t>2024 Panini Prizm #22 Caitlin Clark Rookie Card - PSA GEM MT 10</t>
        </is>
      </c>
      <c r="D21" t="inlineStr">
        <is>
          <t>2026 Weekly Auction May 5 - May 14</t>
        </is>
      </c>
      <c r="E21" s="2" t="n">
        <v>175</v>
      </c>
      <c r="F21" s="2" t="n">
        <v>143.4426229508197</v>
      </c>
      <c r="G21" s="2" t="n">
        <v>164.9590163934426</v>
      </c>
      <c r="H21" t="inlineStr">
        <is>
          <t>2024 Panini Prizm WNBA #22 Caitlin Clark Orange Ice Rookie PSA GEM MINT 10 AUTO</t>
        </is>
      </c>
      <c r="I21" s="2" t="n">
        <v>5006.5</v>
      </c>
      <c r="J21" s="3" t="n">
        <v>11.5</v>
      </c>
      <c r="K21" s="4" t="n"/>
      <c r="L21" s="2">
        <f>IF(K21&lt;&gt;"",K21,I21)</f>
        <v/>
      </c>
      <c r="M21" s="2">
        <f>G21-L21</f>
        <v/>
      </c>
      <c r="N21" s="5">
        <f>IF(L21&gt;0,M21/L21,"")</f>
        <v/>
      </c>
    </row>
    <row r="22">
      <c r="A22" t="n">
        <v>21</v>
      </c>
      <c r="B22" t="inlineStr">
        <is>
          <t>Caitlin Clark</t>
        </is>
      </c>
      <c r="C22" t="inlineStr">
        <is>
          <t>2024 Panini Prizm WNBA Blue Velocity Prizm #22 Caitlin Clark Rookie Card - PSA GEM MT 10</t>
        </is>
      </c>
      <c r="D22" t="inlineStr">
        <is>
          <t>2026 Weekly Auction May 5 - May 14</t>
        </is>
      </c>
      <c r="E22" s="2" t="n">
        <v>350</v>
      </c>
      <c r="F22" s="2" t="n">
        <v>286.8852459016393</v>
      </c>
      <c r="G22" s="2" t="n">
        <v>329.9180327868852</v>
      </c>
      <c r="H22" t="inlineStr">
        <is>
          <t>2024 Panini Prizm WNBA #22 Caitlin Clark Orange Ice Rookie PSA GEM MINT 10 AUTO</t>
        </is>
      </c>
      <c r="I22" s="2" t="n">
        <v>5006.5</v>
      </c>
      <c r="J22" s="3" t="n">
        <v>11.5</v>
      </c>
      <c r="K22" s="4" t="n"/>
      <c r="L22" s="2">
        <f>IF(K22&lt;&gt;"",K22,I22)</f>
        <v/>
      </c>
      <c r="M22" s="2">
        <f>G22-L22</f>
        <v/>
      </c>
      <c r="N22" s="5">
        <f>IF(L22&gt;0,M22/L22,"")</f>
        <v/>
      </c>
    </row>
    <row r="23">
      <c r="A23" t="n">
        <v>22</v>
      </c>
      <c r="B23" t="inlineStr">
        <is>
          <t>Caitlin Clark</t>
        </is>
      </c>
      <c r="C23" t="inlineStr">
        <is>
          <t>2024 Panini Select Sparks Memorabilia Purple Prizm #38 Caitlin Clark Signed Relic Rookie Card (#26/49) - PSA Authentic, PSA/DNA GEM MT 10</t>
        </is>
      </c>
      <c r="D23" t="inlineStr">
        <is>
          <t>2026 Weekly Auction May 12 - May 21</t>
        </is>
      </c>
      <c r="E23" s="2" t="n">
        <v>436</v>
      </c>
      <c r="F23" s="2" t="n">
        <v>357.3770491803279</v>
      </c>
      <c r="G23" s="2" t="n">
        <v>410.9836065573771</v>
      </c>
      <c r="H23" t="inlineStr">
        <is>
          <t>2024 Select WNBA #38 Caitlin Clark Rookie Purple Memorabilia /49 PSA GEM 10 AUTO</t>
        </is>
      </c>
      <c r="I23" s="2" t="n">
        <v>7006.5</v>
      </c>
      <c r="J23" s="3" t="n">
        <v>11</v>
      </c>
      <c r="K23" s="4" t="n"/>
      <c r="L23" s="2">
        <f>IF(K23&lt;&gt;"",K23,I23)</f>
        <v/>
      </c>
      <c r="M23" s="2">
        <f>G23-L23</f>
        <v/>
      </c>
      <c r="N23" s="5">
        <f>IF(L23&gt;0,M23/L23,"")</f>
        <v/>
      </c>
    </row>
    <row r="24">
      <c r="A24" t="n">
        <v>23</v>
      </c>
      <c r="B24" t="inlineStr">
        <is>
          <t>Caitlin Clark</t>
        </is>
      </c>
      <c r="C24" t="inlineStr">
        <is>
          <t>2024 Panini Select WNBA Zebra Prizm #72 Caitlin Clark Rookie Card - PSA MINT 9</t>
        </is>
      </c>
      <c r="D24" t="inlineStr">
        <is>
          <t>2026 April Elite Auction</t>
        </is>
      </c>
      <c r="E24" s="2" t="n">
        <v>900</v>
      </c>
      <c r="F24" s="2" t="n">
        <v>737.7049180327868</v>
      </c>
      <c r="G24" s="2" t="n">
        <v>848.3606557377049</v>
      </c>
      <c r="H24" t="inlineStr">
        <is>
          <t>2024 PANINI SELECT WNBA ZEBRA PRIZM #72 CAITLIN CLARK ROOKIE RC PSA 9</t>
        </is>
      </c>
      <c r="I24" s="2" t="n">
        <v>1613</v>
      </c>
      <c r="J24" s="3" t="n">
        <v>11.5</v>
      </c>
      <c r="K24" s="4" t="n"/>
      <c r="L24" s="2">
        <f>IF(K24&lt;&gt;"",K24,I24)</f>
        <v/>
      </c>
      <c r="M24" s="2">
        <f>G24-L24</f>
        <v/>
      </c>
      <c r="N24" s="5">
        <f>IF(L24&gt;0,M24/L24,"")</f>
        <v/>
      </c>
    </row>
    <row r="25">
      <c r="A25" t="n">
        <v>24</v>
      </c>
      <c r="B25" t="inlineStr">
        <is>
          <t>Charles Barkley</t>
        </is>
      </c>
      <c r="C25" t="inlineStr">
        <is>
          <t>2023-24 Panini National Treasures All-NBA Signatures International Red #ALL-CBK Charles Barkley Signed Card (#8/8) - Panini Encased</t>
        </is>
      </c>
      <c r="D25" t="inlineStr">
        <is>
          <t>2026 Weekly Auction Apr 21 - Apr 30</t>
        </is>
      </c>
      <c r="E25" s="2" t="n">
        <v>300</v>
      </c>
      <c r="F25" s="2" t="n">
        <v>245.9016393442623</v>
      </c>
      <c r="G25" s="2" t="n">
        <v>282.7868852459016</v>
      </c>
      <c r="H25" t="inlineStr">
        <is>
          <t>8/8 ≈1/1 2023-24 National Treasures Charles Barkley Red All-NBA Signatures Auto</t>
        </is>
      </c>
      <c r="I25" s="2" t="n">
        <v>271.44</v>
      </c>
      <c r="J25" s="7" t="n">
        <v>7.5</v>
      </c>
      <c r="K25" s="4" t="n"/>
      <c r="L25" s="2">
        <f>IF(K25&lt;&gt;"",K25,I25)</f>
        <v/>
      </c>
      <c r="M25" s="2">
        <f>G25-L25</f>
        <v/>
      </c>
      <c r="N25" s="5">
        <f>IF(L25&gt;0,M25/L25,"")</f>
        <v/>
      </c>
    </row>
    <row r="26">
      <c r="A26" t="n">
        <v>25</v>
      </c>
      <c r="B26" t="inlineStr">
        <is>
          <t>Chet Holmgren</t>
        </is>
      </c>
      <c r="C26" t="inlineStr">
        <is>
          <t>2022-23 Panini Flawless Excellence Signatures '25 Black Box #ES-CHG Chet Holmgren Signed Rookie Card (#1/1) - Panini Encased</t>
        </is>
      </c>
      <c r="D26" t="inlineStr">
        <is>
          <t>2026 Weekly Auction Mar 24 - Apr 2</t>
        </is>
      </c>
      <c r="E26" s="2" t="n">
        <v>675</v>
      </c>
      <c r="F26" s="2" t="n">
        <v>553.2786885245902</v>
      </c>
      <c r="G26" s="2" t="n">
        <v>636.2704918032787</v>
      </c>
      <c r="H26" t="inlineStr">
        <is>
          <t>Chet Holmgren 2022-23 Panini Flawless Gold Rookie Auto RC Card Black Box 1/1</t>
        </is>
      </c>
      <c r="I26" s="2" t="n">
        <v>1576</v>
      </c>
      <c r="J26" s="3" t="n">
        <v>8</v>
      </c>
      <c r="K26" s="4" t="n"/>
      <c r="L26" s="2">
        <f>IF(K26&lt;&gt;"",K26,I26)</f>
        <v/>
      </c>
      <c r="M26" s="2">
        <f>G26-L26</f>
        <v/>
      </c>
      <c r="N26" s="5">
        <f>IF(L26&gt;0,M26/L26,"")</f>
        <v/>
      </c>
    </row>
    <row r="27">
      <c r="A27" t="n">
        <v>26</v>
      </c>
      <c r="B27" t="inlineStr">
        <is>
          <t>Chet Holmgren</t>
        </is>
      </c>
      <c r="C27" t="inlineStr">
        <is>
          <t>2024-25 Panini Eminence Optimum Diamond Autographs Gold #ODA-HOL Chet Holmgren Signed Diamond Relic Card (#2/5) - Panini Encased</t>
        </is>
      </c>
      <c r="D27" t="inlineStr">
        <is>
          <t>2026 Weekly Auction Mar 24 - Apr 2</t>
        </is>
      </c>
      <c r="E27" s="2" t="n">
        <v>350</v>
      </c>
      <c r="F27" s="2" t="n">
        <v>286.8852459016393</v>
      </c>
      <c r="G27" s="2" t="n">
        <v>329.9180327868852</v>
      </c>
      <c r="H27" t="inlineStr">
        <is>
          <t>2024-2025 Eminence Optimum Chet Holmgren On Card Auto 2/5 Okc Thunder Rare</t>
        </is>
      </c>
      <c r="I27" s="2" t="n">
        <v>315.52</v>
      </c>
      <c r="J27" s="6" t="n">
        <v>4.5</v>
      </c>
      <c r="K27" s="4" t="n"/>
      <c r="L27" s="2">
        <f>IF(K27&lt;&gt;"",K27,I27)</f>
        <v/>
      </c>
      <c r="M27" s="2">
        <f>G27-L27</f>
        <v/>
      </c>
      <c r="N27" s="5">
        <f>IF(L27&gt;0,M27/L27,"")</f>
        <v/>
      </c>
    </row>
    <row r="28">
      <c r="A28" t="n">
        <v>27</v>
      </c>
      <c r="B28" t="inlineStr">
        <is>
          <t>Chet Holmgren</t>
        </is>
      </c>
      <c r="C28" t="inlineStr">
        <is>
          <t>2024-25 Panini Prizm Black Sensational Signatures Gold Shimmer Prizm FOTL #SS-HOL Chet Holmgren Signed Card (#07/10) - Jersey Number - Panini Encased</t>
        </is>
      </c>
      <c r="D28" t="inlineStr">
        <is>
          <t>2026 February Elite Auction</t>
        </is>
      </c>
      <c r="E28" s="2" t="n">
        <v>210</v>
      </c>
      <c r="F28" s="2" t="n">
        <v>172.1311475409836</v>
      </c>
      <c r="G28" s="2" t="n">
        <v>197.9508196721312</v>
      </c>
      <c r="H28" t="inlineStr">
        <is>
          <t>Chet Holmgren 2024-25 Panini Prizm Black Sensational Signatures Gold Redemption</t>
        </is>
      </c>
      <c r="I28" s="2" t="n">
        <v>247.36</v>
      </c>
      <c r="J28" s="7" t="n">
        <v>6</v>
      </c>
      <c r="K28" s="4" t="n"/>
      <c r="L28" s="2">
        <f>IF(K28&lt;&gt;"",K28,I28)</f>
        <v/>
      </c>
      <c r="M28" s="2">
        <f>G28-L28</f>
        <v/>
      </c>
      <c r="N28" s="5">
        <f>IF(L28&gt;0,M28/L28,"")</f>
        <v/>
      </c>
    </row>
    <row r="29">
      <c r="A29" t="n">
        <v>28</v>
      </c>
      <c r="B29" t="inlineStr">
        <is>
          <t>Cooper Flagg</t>
        </is>
      </c>
      <c r="C29" t="inlineStr">
        <is>
          <t>2024-25 Bowman Chrome U Final Exam Autograph #FEA-CF Cooper Flagg Signed Rookie Card - PSA GEM MT 10</t>
        </is>
      </c>
      <c r="D29" t="inlineStr">
        <is>
          <t>2026 Weekly Auction Mar 24 - Apr 2</t>
        </is>
      </c>
      <c r="E29" s="2" t="n">
        <v>1260</v>
      </c>
      <c r="F29" s="2" t="n">
        <v>1032.786885245902</v>
      </c>
      <c r="G29" s="2" t="n">
        <v>1187.704918032787</v>
      </c>
      <c r="H29" t="inlineStr">
        <is>
          <t>2024-25 Bowman University Best Cooper Flagg Let It Rain Patch Auto /5</t>
        </is>
      </c>
      <c r="I29" s="2" t="n">
        <v>2232.35</v>
      </c>
      <c r="J29" s="7" t="n">
        <v>5.5</v>
      </c>
      <c r="K29" s="4" t="n"/>
      <c r="L29" s="2">
        <f>IF(K29&lt;&gt;"",K29,I29)</f>
        <v/>
      </c>
      <c r="M29" s="2">
        <f>G29-L29</f>
        <v/>
      </c>
      <c r="N29" s="5">
        <f>IF(L29&gt;0,M29/L29,"")</f>
        <v/>
      </c>
    </row>
    <row r="30">
      <c r="A30" t="n">
        <v>29</v>
      </c>
      <c r="B30" t="inlineStr">
        <is>
          <t>Cooper Flagg</t>
        </is>
      </c>
      <c r="C30" t="inlineStr">
        <is>
          <t>2024-25 Bowman's Best University Prospect Jumbo Relic Autographs Gold Geometric Refractor #PJRA-CF Cooper Flagg Signed Relic Rookie Card (#38/50) - BGS NM-MT+ 8.5, Beckett 10</t>
        </is>
      </c>
      <c r="D30" t="inlineStr">
        <is>
          <t>2026 Weekly Auction Mar 24 - Apr 2</t>
        </is>
      </c>
      <c r="E30" s="2" t="n">
        <v>1000</v>
      </c>
      <c r="F30" s="2" t="n">
        <v>819.672131147541</v>
      </c>
      <c r="G30" s="2" t="n">
        <v>942.622950819672</v>
      </c>
      <c r="H30" t="inlineStr">
        <is>
          <t>2024-25 Bowman University Best Cooper Flagg Let It Rain Patch Auto /5</t>
        </is>
      </c>
      <c r="I30" s="2" t="n">
        <v>2232.35</v>
      </c>
      <c r="J30" s="7" t="n">
        <v>5.5</v>
      </c>
      <c r="K30" s="4" t="n"/>
      <c r="L30" s="2">
        <f>IF(K30&lt;&gt;"",K30,I30)</f>
        <v/>
      </c>
      <c r="M30" s="2">
        <f>G30-L30</f>
        <v/>
      </c>
      <c r="N30" s="5">
        <f>IF(L30&gt;0,M30/L30,"")</f>
        <v/>
      </c>
    </row>
    <row r="31">
      <c r="A31" t="n">
        <v>30</v>
      </c>
      <c r="B31" t="inlineStr">
        <is>
          <t>Cooper Flagg</t>
        </is>
      </c>
      <c r="C31" t="inlineStr">
        <is>
          <t>2025-26 Panini Instant NBA Draft Night #1 Cooper Flagg Rookie Card - PSA GEM MT 10</t>
        </is>
      </c>
      <c r="D31" t="inlineStr">
        <is>
          <t>2026 Weekly Auction Mar 24 - Apr 2</t>
        </is>
      </c>
      <c r="E31" s="2" t="n">
        <v>34</v>
      </c>
      <c r="F31" s="2" t="n">
        <v>27.8688524590164</v>
      </c>
      <c r="G31" s="2" t="n">
        <v>32.04918032786885</v>
      </c>
      <c r="H31" t="inlineStr">
        <is>
          <t>2025-26 Topps Chrome Cooper Flagg #251 RC Rookie Card - PSA 10 Gem Mint</t>
        </is>
      </c>
      <c r="I31" s="2" t="n">
        <v>799</v>
      </c>
      <c r="J31" s="6" t="n">
        <v>4</v>
      </c>
      <c r="K31" s="4" t="n"/>
      <c r="L31" s="2">
        <f>IF(K31&lt;&gt;"",K31,I31)</f>
        <v/>
      </c>
      <c r="M31" s="2">
        <f>G31-L31</f>
        <v/>
      </c>
      <c r="N31" s="5">
        <f>IF(L31&gt;0,M31/L31,"")</f>
        <v/>
      </c>
    </row>
    <row r="32">
      <c r="A32" t="n">
        <v>31</v>
      </c>
      <c r="B32" t="inlineStr">
        <is>
          <t>Cooper Flagg</t>
        </is>
      </c>
      <c r="C32" t="inlineStr">
        <is>
          <t>2025-26 Topps Chrome #251 Cooper Flagg Rookie Card - PSA GEM MT 10</t>
        </is>
      </c>
      <c r="D32" t="inlineStr">
        <is>
          <t>2026 Weekly Auction Mar 31 - Apr 9</t>
        </is>
      </c>
      <c r="E32" s="2" t="n">
        <v>325</v>
      </c>
      <c r="F32" s="2" t="n">
        <v>266.3934426229508</v>
      </c>
      <c r="G32" s="2" t="n">
        <v>306.3524590163934</v>
      </c>
      <c r="H32" t="inlineStr">
        <is>
          <t>2025-26 Topps Chrome Cooper Flagg #251 RC Rookie Card - PSA 10 Gem Mint</t>
        </is>
      </c>
      <c r="I32" s="2" t="n">
        <v>799</v>
      </c>
      <c r="J32" s="3" t="n">
        <v>11</v>
      </c>
      <c r="K32" s="4" t="n"/>
      <c r="L32" s="2">
        <f>IF(K32&lt;&gt;"",K32,I32)</f>
        <v/>
      </c>
      <c r="M32" s="2">
        <f>G32-L32</f>
        <v/>
      </c>
      <c r="N32" s="5">
        <f>IF(L32&gt;0,M32/L32,"")</f>
        <v/>
      </c>
    </row>
    <row r="33">
      <c r="A33" t="n">
        <v>32</v>
      </c>
      <c r="B33" t="inlineStr">
        <is>
          <t>Cooper Flagg</t>
        </is>
      </c>
      <c r="C33" t="inlineStr">
        <is>
          <t>2025-26 Topps Chrome Next Stop Signatures Purple Geometric Refractor #NS-CF Cooper Flagg Signed Rookie Card (#68/75) - PSA MINT 9</t>
        </is>
      </c>
      <c r="D33" t="inlineStr">
        <is>
          <t>2026 April Elite Auction</t>
        </is>
      </c>
      <c r="E33" s="2" t="n">
        <v>2066</v>
      </c>
      <c r="F33" s="2" t="n">
        <v>1693.44262295082</v>
      </c>
      <c r="G33" s="2" t="n">
        <v>1947.459016393442</v>
      </c>
      <c r="H33" t="inlineStr">
        <is>
          <t>2025-26 Topps Chrome Purple Refractor Loading Rookie RC Cooper Flagg /75</t>
        </is>
      </c>
      <c r="I33" s="2" t="n">
        <v>155.3</v>
      </c>
      <c r="J33" s="3" t="n">
        <v>8</v>
      </c>
      <c r="K33" s="4" t="n"/>
      <c r="L33" s="2">
        <f>IF(K33&lt;&gt;"",K33,I33)</f>
        <v/>
      </c>
      <c r="M33" s="2">
        <f>G33-L33</f>
        <v/>
      </c>
      <c r="N33" s="5">
        <f>IF(L33&gt;0,M33/L33,"")</f>
        <v/>
      </c>
    </row>
    <row r="34">
      <c r="A34" t="n">
        <v>33</v>
      </c>
      <c r="B34" t="inlineStr">
        <is>
          <t>Dalton Knecht</t>
        </is>
      </c>
      <c r="C34" t="inlineStr">
        <is>
          <t>2024-25 Panini Eminence Elegant Marks #EM-KNE Dalton Knecht Signed Rookie Card (#02/10) - Panini Encased</t>
        </is>
      </c>
      <c r="D34" t="inlineStr">
        <is>
          <t>2026 April Elite Auction</t>
        </is>
      </c>
      <c r="E34" s="2" t="n">
        <v>190</v>
      </c>
      <c r="F34" s="2" t="n">
        <v>155.7377049180328</v>
      </c>
      <c r="G34" s="2" t="n">
        <v>179.0983606557377</v>
      </c>
      <c r="H34" t="inlineStr">
        <is>
          <t>DALTON KNECHT 2024-25 PANINI EMINENCE ELEGANT MARKS ROOKIE RC AUTO 02/10 LAKERS</t>
        </is>
      </c>
      <c r="I34" s="2" t="n">
        <v>268.5</v>
      </c>
      <c r="J34" s="7" t="n">
        <v>7.5</v>
      </c>
      <c r="K34" s="4" t="n"/>
      <c r="L34" s="2">
        <f>IF(K34&lt;&gt;"",K34,I34)</f>
        <v/>
      </c>
      <c r="M34" s="2">
        <f>G34-L34</f>
        <v/>
      </c>
      <c r="N34" s="5">
        <f>IF(L34&gt;0,M34/L34,"")</f>
        <v/>
      </c>
    </row>
    <row r="35">
      <c r="A35" t="n">
        <v>34</v>
      </c>
      <c r="B35" t="inlineStr">
        <is>
          <t>Dalton Knecht</t>
        </is>
      </c>
      <c r="C35" t="inlineStr">
        <is>
          <t>2024-25 Panini Mosaic Collage Autographs Blue Mosaic #CAM-KNE Dalton Knecht Signed Rookie Card (#15/35) - Panini Encased</t>
        </is>
      </c>
      <c r="D35" t="inlineStr">
        <is>
          <t>2026 Weekly Auction Mar 10 - Mar 19</t>
        </is>
      </c>
      <c r="E35" s="2" t="n">
        <v>37</v>
      </c>
      <c r="F35" s="2" t="n">
        <v>30.32786885245902</v>
      </c>
      <c r="G35" s="2" t="n">
        <v>34.87704918032787</v>
      </c>
      <c r="H35" t="inlineStr">
        <is>
          <t>2024-25 Mosaic Collage Autographs Dalton Knecht #CAM-KNE Redemption /35 Blue🔥sp</t>
        </is>
      </c>
      <c r="I35" s="2" t="n">
        <v>54.46</v>
      </c>
      <c r="J35" s="3" t="n">
        <v>13</v>
      </c>
      <c r="K35" s="4" t="n"/>
      <c r="L35" s="2">
        <f>IF(K35&lt;&gt;"",K35,I35)</f>
        <v/>
      </c>
      <c r="M35" s="2">
        <f>G35-L35</f>
        <v/>
      </c>
      <c r="N35" s="5">
        <f>IF(L35&gt;0,M35/L35,"")</f>
        <v/>
      </c>
    </row>
    <row r="36">
      <c r="A36" t="n">
        <v>35</v>
      </c>
      <c r="B36" t="inlineStr">
        <is>
          <t>Dalton Knecht</t>
        </is>
      </c>
      <c r="C36" t="inlineStr">
        <is>
          <t>2024-25 Panini One and One Rookie Jersey Autographs Blue #RJA-KNE Dalton Knecht Signed Patch Rookie Card (#48/49) - Panini Encased</t>
        </is>
      </c>
      <c r="D36" t="inlineStr">
        <is>
          <t>2026 Weekly Auction Apr 21 - Apr 30</t>
        </is>
      </c>
      <c r="E36" s="2" t="n">
        <v>32</v>
      </c>
      <c r="F36" s="2" t="n">
        <v>26.22950819672131</v>
      </c>
      <c r="G36" s="2" t="n">
        <v>30.16393442622951</v>
      </c>
      <c r="H36" t="inlineStr">
        <is>
          <t>2024-25 Panini One And One Dalton Knecht Blue RC Jersey Patch Auto RPA /49</t>
        </is>
      </c>
      <c r="I36" s="2" t="n">
        <v>99.98999999999999</v>
      </c>
      <c r="J36" s="3" t="n">
        <v>8.5</v>
      </c>
      <c r="K36" s="4" t="n"/>
      <c r="L36" s="2">
        <f>IF(K36&lt;&gt;"",K36,I36)</f>
        <v/>
      </c>
      <c r="M36" s="2">
        <f>G36-L36</f>
        <v/>
      </c>
      <c r="N36" s="5">
        <f>IF(L36&gt;0,M36/L36,"")</f>
        <v/>
      </c>
    </row>
    <row r="37">
      <c r="A37" t="n">
        <v>36</v>
      </c>
      <c r="B37" t="inlineStr">
        <is>
          <t>Damian Lillard</t>
        </is>
      </c>
      <c r="C37" t="inlineStr">
        <is>
          <t>2024-25 Panini Noir Emblazoned Ink #EBI-DML Damian Lillard Signed Card (#34/49) - Panini Encased</t>
        </is>
      </c>
      <c r="D37" t="inlineStr">
        <is>
          <t>2026 Weekly Auction Mar 24 - Apr 2</t>
        </is>
      </c>
      <c r="E37" s="2" t="n">
        <v>132</v>
      </c>
      <c r="F37" s="2" t="n">
        <v>108.1967213114754</v>
      </c>
      <c r="G37" s="2" t="n">
        <v>124.4262295081967</v>
      </c>
      <c r="H37" t="inlineStr">
        <is>
          <t>2024-25 Panini Noir Damian Lillard Emblazoned Ink Holo Auto /49 Bucks</t>
        </is>
      </c>
      <c r="I37" s="2" t="n">
        <v>159.34</v>
      </c>
      <c r="J37" s="7" t="n">
        <v>7</v>
      </c>
      <c r="K37" s="4" t="n"/>
      <c r="L37" s="2">
        <f>IF(K37&lt;&gt;"",K37,I37)</f>
        <v/>
      </c>
      <c r="M37" s="2">
        <f>G37-L37</f>
        <v/>
      </c>
      <c r="N37" s="5">
        <f>IF(L37&gt;0,M37/L37,"")</f>
        <v/>
      </c>
    </row>
    <row r="38">
      <c r="A38" t="n">
        <v>37</v>
      </c>
      <c r="B38" t="inlineStr">
        <is>
          <t>Donovan Mitchell</t>
        </is>
      </c>
      <c r="C38" t="inlineStr">
        <is>
          <t>2024-25 Panini Flawless All-Stars #125 Donovan Mitchell Diamond Relic Card (#08/10) - Panini Encased</t>
        </is>
      </c>
      <c r="D38" t="inlineStr">
        <is>
          <t>2026 Weekly Auction Mar 17 - Mar 26</t>
        </is>
      </c>
      <c r="E38" s="2" t="n">
        <v>75</v>
      </c>
      <c r="F38" s="2" t="n">
        <v>61.47540983606557</v>
      </c>
      <c r="G38" s="2" t="n">
        <v>70.6967213114754</v>
      </c>
      <c r="H38" t="inlineStr">
        <is>
          <t>2024-25 Panini Flawless Donovan Mitchell #125 All-Stars Diamond Cavaliers /10</t>
        </is>
      </c>
      <c r="I38" s="2" t="n">
        <v>292.99</v>
      </c>
      <c r="J38" s="3" t="n">
        <v>12</v>
      </c>
      <c r="K38" s="4" t="n"/>
      <c r="L38" s="2">
        <f>IF(K38&lt;&gt;"",K38,I38)</f>
        <v/>
      </c>
      <c r="M38" s="2">
        <f>G38-L38</f>
        <v/>
      </c>
      <c r="N38" s="5">
        <f>IF(L38&gt;0,M38/L38,"")</f>
        <v/>
      </c>
    </row>
    <row r="39">
      <c r="A39" t="n">
        <v>38</v>
      </c>
      <c r="B39" t="inlineStr">
        <is>
          <t>Donovan Mitchell</t>
        </is>
      </c>
      <c r="C39" t="inlineStr">
        <is>
          <t>2025-26 Topps All Kings #AK-10 Donovan Mitchell - PSA NM-MT 8</t>
        </is>
      </c>
      <c r="D39" t="inlineStr">
        <is>
          <t>2026 Weekly Auction Mar 3 - Mar 12</t>
        </is>
      </c>
      <c r="E39" s="2" t="n">
        <v>153</v>
      </c>
      <c r="F39" s="2" t="n">
        <v>125.4098360655738</v>
      </c>
      <c r="G39" s="2" t="n">
        <v>144.2213114754098</v>
      </c>
      <c r="H39" t="inlineStr">
        <is>
          <t>2025-26 Topps Chrome Donovan Mitchell #TCA-DM Orange Refractor Auto /25</t>
        </is>
      </c>
      <c r="I39" s="2" t="n">
        <v>201.49</v>
      </c>
      <c r="J39" s="7" t="n">
        <v>5</v>
      </c>
      <c r="K39" s="4" t="n"/>
      <c r="L39" s="2">
        <f>IF(K39&lt;&gt;"",K39,I39)</f>
        <v/>
      </c>
      <c r="M39" s="2">
        <f>G39-L39</f>
        <v/>
      </c>
      <c r="N39" s="5">
        <f>IF(L39&gt;0,M39/L39,"")</f>
        <v/>
      </c>
    </row>
    <row r="40">
      <c r="A40" t="n">
        <v>39</v>
      </c>
      <c r="B40" t="inlineStr">
        <is>
          <t>Dwyane Wade</t>
        </is>
      </c>
      <c r="C40" t="inlineStr">
        <is>
          <t>2003-04 Bowman Chrome Autograph Refractors #149 Dwyane Wade Signed Rookie Card (#25/50) - BGS MINT 9, Beckett 10</t>
        </is>
      </c>
      <c r="D40" t="inlineStr">
        <is>
          <t>2026 April Elite Auction</t>
        </is>
      </c>
      <c r="E40" s="2" t="n">
        <v>1256</v>
      </c>
      <c r="F40" s="2" t="n">
        <v>1029.508196721312</v>
      </c>
      <c r="G40" s="2" t="n">
        <v>1183.934426229508</v>
      </c>
      <c r="H40" t="inlineStr">
        <is>
          <t>DWYANE WADE 2003-04 BOWMAN CHROME #149 ROOKIE RC /50 AUTO REFRACTOR BGS 9/10 💎</t>
        </is>
      </c>
      <c r="I40" s="2" t="n">
        <v>1379.95</v>
      </c>
      <c r="J40" s="3" t="n">
        <v>14</v>
      </c>
      <c r="K40" s="4" t="n"/>
      <c r="L40" s="2">
        <f>IF(K40&lt;&gt;"",K40,I40)</f>
        <v/>
      </c>
      <c r="M40" s="2">
        <f>G40-L40</f>
        <v/>
      </c>
      <c r="N40" s="5">
        <f>IF(L40&gt;0,M40/L40,"")</f>
        <v/>
      </c>
    </row>
    <row r="41">
      <c r="A41" t="n">
        <v>40</v>
      </c>
      <c r="B41" t="inlineStr">
        <is>
          <t>Dwyane Wade</t>
        </is>
      </c>
      <c r="C41" t="inlineStr">
        <is>
          <t>2023-24 Topps Cosmic Chrome SuperFractor #70 Dwyane Wade (#1/1) - PSA MINT 9</t>
        </is>
      </c>
      <c r="D41" t="inlineStr">
        <is>
          <t>2026 April Elite Auction</t>
        </is>
      </c>
      <c r="E41" s="2" t="n">
        <v>350</v>
      </c>
      <c r="F41" s="2" t="n">
        <v>286.8852459016393</v>
      </c>
      <c r="G41" s="2" t="n">
        <v>329.9180327868852</v>
      </c>
      <c r="H41" t="inlineStr">
        <is>
          <t>2007-08 Upper Deck Exquisite Collection Dwyane Wade #/225 Heat</t>
        </is>
      </c>
      <c r="I41" s="2" t="n">
        <v>71.01000000000001</v>
      </c>
      <c r="J41" s="7" t="n">
        <v>5</v>
      </c>
      <c r="K41" s="4" t="n"/>
      <c r="L41" s="2">
        <f>IF(K41&lt;&gt;"",K41,I41)</f>
        <v/>
      </c>
      <c r="M41" s="2">
        <f>G41-L41</f>
        <v/>
      </c>
      <c r="N41" s="5">
        <f>IF(L41&gt;0,M41/L41,"")</f>
        <v/>
      </c>
    </row>
    <row r="42">
      <c r="A42" t="n">
        <v>41</v>
      </c>
      <c r="B42" t="inlineStr">
        <is>
          <t>Dwyane Wade</t>
        </is>
      </c>
      <c r="C42" t="inlineStr">
        <is>
          <t>2024-25 Panini Flawless Legends Platinum #116 Dwyane Wade Diamond Relic Card (#1/1) - Panini Encased</t>
        </is>
      </c>
      <c r="D42" t="inlineStr">
        <is>
          <t>2026 April Elite Auction</t>
        </is>
      </c>
      <c r="E42" s="2" t="n">
        <v>1261</v>
      </c>
      <c r="F42" s="2" t="n">
        <v>1033.606557377049</v>
      </c>
      <c r="G42" s="2" t="n">
        <v>1188.647540983607</v>
      </c>
      <c r="H42" t="inlineStr">
        <is>
          <t>One Of One 1/1 2024-25 Panini Flawless Dwyane Wade #116 Legends Diamond Teal</t>
        </is>
      </c>
      <c r="I42" s="2" t="n">
        <v>1555.67</v>
      </c>
      <c r="J42" s="3" t="n">
        <v>12.5</v>
      </c>
      <c r="K42" s="4" t="n"/>
      <c r="L42" s="2">
        <f>IF(K42&lt;&gt;"",K42,I42)</f>
        <v/>
      </c>
      <c r="M42" s="2">
        <f>G42-L42</f>
        <v/>
      </c>
      <c r="N42" s="5">
        <f>IF(L42&gt;0,M42/L42,"")</f>
        <v/>
      </c>
    </row>
    <row r="43">
      <c r="A43" t="n">
        <v>42</v>
      </c>
      <c r="B43" t="inlineStr">
        <is>
          <t>Evan Mobley</t>
        </is>
      </c>
      <c r="C43" t="inlineStr">
        <is>
          <t>2024-25 Panini Eminence Peerless Patch Autographs Platinum #PPA-MOB Evan Mobley Signed Patch Card (#1/1) - Panini Encased</t>
        </is>
      </c>
      <c r="D43" t="inlineStr">
        <is>
          <t>2026 Weekly Auction Mar 10 - Mar 19</t>
        </is>
      </c>
      <c r="E43" s="2" t="n">
        <v>1700</v>
      </c>
      <c r="F43" s="2" t="n">
        <v>1393.44262295082</v>
      </c>
      <c r="G43" s="2" t="n">
        <v>1602.459016393442</v>
      </c>
      <c r="H43" t="inlineStr">
        <is>
          <t>EVAN MOBLEY 2024-25 PANINI EMINENCE PEERLESS GU LOGO PATCH AUTO PLATINUM 1/1</t>
        </is>
      </c>
      <c r="I43" s="2" t="n">
        <v>2754</v>
      </c>
      <c r="J43" s="3" t="n">
        <v>8.5</v>
      </c>
      <c r="K43" s="4" t="n"/>
      <c r="L43" s="2">
        <f>IF(K43&lt;&gt;"",K43,I43)</f>
        <v/>
      </c>
      <c r="M43" s="2">
        <f>G43-L43</f>
        <v/>
      </c>
      <c r="N43" s="5">
        <f>IF(L43&gt;0,M43/L43,"")</f>
        <v/>
      </c>
    </row>
    <row r="44">
      <c r="A44" t="n">
        <v>43</v>
      </c>
      <c r="B44" t="inlineStr">
        <is>
          <t>Giannis Antetokounmpo</t>
        </is>
      </c>
      <c r="C44" t="inlineStr">
        <is>
          <t>2015-16 Panini Noir Autographs Black &amp; White Platinum #NB-GAN Giannis Antetokounmpo Signed Card (#3/5) - Panini Encased</t>
        </is>
      </c>
      <c r="D44" t="inlineStr">
        <is>
          <t>2026 April Elite Auction</t>
        </is>
      </c>
      <c r="E44" s="2" t="n">
        <v>521</v>
      </c>
      <c r="F44" s="2" t="n">
        <v>427.0491803278688</v>
      </c>
      <c r="G44" s="2" t="n">
        <v>491.1065573770491</v>
      </c>
      <c r="H44" t="inlineStr">
        <is>
          <t>2015-16 Panini Noir Giannis Antetokounmpo Auto /5 #NB-GAN Bucks</t>
        </is>
      </c>
      <c r="I44" s="2" t="n">
        <v>649.87</v>
      </c>
      <c r="J44" s="3" t="n">
        <v>12.5</v>
      </c>
      <c r="K44" s="4" t="n"/>
      <c r="L44" s="2">
        <f>IF(K44&lt;&gt;"",K44,I44)</f>
        <v/>
      </c>
      <c r="M44" s="2">
        <f>G44-L44</f>
        <v/>
      </c>
      <c r="N44" s="5">
        <f>IF(L44&gt;0,M44/L44,"")</f>
        <v/>
      </c>
    </row>
    <row r="45">
      <c r="A45" t="n">
        <v>44</v>
      </c>
      <c r="B45" t="inlineStr">
        <is>
          <t>Giannis Antetokounmpo</t>
        </is>
      </c>
      <c r="C45" t="inlineStr">
        <is>
          <t>2017-18 Panini Flawless Momentous Autographs Gold #MA-GA Giannis Antetokounmpo Signed Card (#04/10) - Panini Encased</t>
        </is>
      </c>
      <c r="D45" t="inlineStr">
        <is>
          <t>2026 Weekly Auction Apr 21 - Apr 30</t>
        </is>
      </c>
      <c r="E45" s="2" t="n">
        <v>675</v>
      </c>
      <c r="F45" s="2" t="n">
        <v>553.2786885245902</v>
      </c>
      <c r="G45" s="2" t="n">
        <v>636.2704918032787</v>
      </c>
      <c r="H45" t="inlineStr">
        <is>
          <t>2017-18 Panini Flawless Giannis Antetokounmpo Momentous Auto Gold /10</t>
        </is>
      </c>
      <c r="I45" s="2" t="n">
        <v>1164.99</v>
      </c>
      <c r="J45" s="3" t="n">
        <v>8</v>
      </c>
      <c r="K45" s="4" t="n"/>
      <c r="L45" s="2">
        <f>IF(K45&lt;&gt;"",K45,I45)</f>
        <v/>
      </c>
      <c r="M45" s="2">
        <f>G45-L45</f>
        <v/>
      </c>
      <c r="N45" s="5">
        <f>IF(L45&gt;0,M45/L45,"")</f>
        <v/>
      </c>
    </row>
    <row r="46">
      <c r="A46" t="n">
        <v>45</v>
      </c>
      <c r="B46" t="inlineStr">
        <is>
          <t>Giannis Antetokounmpo</t>
        </is>
      </c>
      <c r="C46" t="inlineStr">
        <is>
          <t>2017-18 Panini Flawless Premium Ink Signatures #PI-GA Giannis Antetokounmpo Signed Card (#12/25) - BGS GEM MINT 9.5, Beckett 10</t>
        </is>
      </c>
      <c r="D46" t="inlineStr">
        <is>
          <t>2026 Weekly Auction Mar 24 - Apr 2</t>
        </is>
      </c>
      <c r="E46" s="2" t="n">
        <v>675</v>
      </c>
      <c r="F46" s="2" t="n">
        <v>553.2786885245902</v>
      </c>
      <c r="G46" s="2" t="n">
        <v>636.2704918032787</v>
      </c>
      <c r="H46" t="inlineStr">
        <is>
          <t>2017-18 Panini Flawless Giannis Antetokounmpo Momentous Auto Gold /10</t>
        </is>
      </c>
      <c r="I46" s="2" t="n">
        <v>1164.99</v>
      </c>
      <c r="J46" s="7" t="n">
        <v>5</v>
      </c>
      <c r="K46" s="4" t="n"/>
      <c r="L46" s="2">
        <f>IF(K46&lt;&gt;"",K46,I46)</f>
        <v/>
      </c>
      <c r="M46" s="2">
        <f>G46-L46</f>
        <v/>
      </c>
      <c r="N46" s="5">
        <f>IF(L46&gt;0,M46/L46,"")</f>
        <v/>
      </c>
    </row>
    <row r="47">
      <c r="A47" t="n">
        <v>46</v>
      </c>
      <c r="B47" t="inlineStr">
        <is>
          <t>Giannis Antetokounmpo</t>
        </is>
      </c>
      <c r="C47" t="inlineStr">
        <is>
          <t>2018-19 Panini Select In Flight Signatures Tie-Dye Prizm #IF-GAN Giannis Antetokounmpo Signed Card (#04/25) - BGS GEM MINT 9.5, Beckett 10</t>
        </is>
      </c>
      <c r="D47" t="inlineStr">
        <is>
          <t>2026 Weekly Auction Mar 24 - Apr 2</t>
        </is>
      </c>
      <c r="E47" s="2" t="n">
        <v>526</v>
      </c>
      <c r="F47" s="2" t="n">
        <v>431.1475409836066</v>
      </c>
      <c r="G47" s="2" t="n">
        <v>495.8196721311475</v>
      </c>
      <c r="H47" t="inlineStr">
        <is>
          <t>2018-19 Panini Prizm GIANNIS ANTETOKOUNMPO Pink Ice Prizm SP #296 BGS 9</t>
        </is>
      </c>
      <c r="I47" s="2" t="n">
        <v>63</v>
      </c>
      <c r="J47" s="7" t="n">
        <v>6</v>
      </c>
      <c r="K47" s="4" t="n"/>
      <c r="L47" s="2">
        <f>IF(K47&lt;&gt;"",K47,I47)</f>
        <v/>
      </c>
      <c r="M47" s="2">
        <f>G47-L47</f>
        <v/>
      </c>
      <c r="N47" s="5">
        <f>IF(L47&gt;0,M47/L47,"")</f>
        <v/>
      </c>
    </row>
    <row r="48">
      <c r="A48" t="n">
        <v>47</v>
      </c>
      <c r="B48" t="inlineStr">
        <is>
          <t>Giannis Antetokounmpo</t>
        </is>
      </c>
      <c r="C48" t="inlineStr">
        <is>
          <t>2019-20 Panini Instant NBA Defensive Player of the Year Autographs #183 Giannis Antetokounmpo Signed Card (#3/5) - Panini Encased</t>
        </is>
      </c>
      <c r="D48" t="inlineStr">
        <is>
          <t>2026 Weekly Auction Mar 17 - Mar 26</t>
        </is>
      </c>
      <c r="E48" s="2" t="n">
        <v>170</v>
      </c>
      <c r="F48" s="2" t="n">
        <v>139.344262295082</v>
      </c>
      <c r="G48" s="2" t="n">
        <v>160.2459016393443</v>
      </c>
      <c r="H48" t="inlineStr">
        <is>
          <t>GIANNIS ANTETOKOUNMPO 2019-20 Panini Instant Basketball #183 NBA DPOY Auto 3/5</t>
        </is>
      </c>
      <c r="I48" s="2" t="n">
        <v>486.1</v>
      </c>
      <c r="J48" s="3" t="n">
        <v>10.5</v>
      </c>
      <c r="K48" s="4" t="n"/>
      <c r="L48" s="2">
        <f>IF(K48&lt;&gt;"",K48,I48)</f>
        <v/>
      </c>
      <c r="M48" s="2">
        <f>G48-L48</f>
        <v/>
      </c>
      <c r="N48" s="5">
        <f>IF(L48&gt;0,M48/L48,"")</f>
        <v/>
      </c>
    </row>
    <row r="49">
      <c r="A49" t="n">
        <v>48</v>
      </c>
      <c r="B49" t="inlineStr">
        <is>
          <t>Giannis Antetokounmpo</t>
        </is>
      </c>
      <c r="C49" t="inlineStr">
        <is>
          <t>2019-20 Panini Obsidian Matrix Autographs Electric Etch Yellow #MA-GAN Giannis Antetokounmpo Signed Card (#03/10) - PSA MINT 9</t>
        </is>
      </c>
      <c r="D49" t="inlineStr">
        <is>
          <t>2026 Weekly Auction Mar 24 - Apr 2</t>
        </is>
      </c>
      <c r="E49" s="2" t="n">
        <v>181</v>
      </c>
      <c r="F49" s="2" t="n">
        <v>148.3606557377049</v>
      </c>
      <c r="G49" s="2" t="n">
        <v>170.6147540983606</v>
      </c>
      <c r="H49" t="inlineStr">
        <is>
          <t>Giannis Antetokounmpo 2019 Obsidian Matrix Yellow Auto MAGAN Bucks /10 PSA 9</t>
        </is>
      </c>
      <c r="I49" s="2" t="n">
        <v>520</v>
      </c>
      <c r="J49" s="3" t="n">
        <v>10</v>
      </c>
      <c r="K49" s="4" t="n"/>
      <c r="L49" s="2">
        <f>IF(K49&lt;&gt;"",K49,I49)</f>
        <v/>
      </c>
      <c r="M49" s="2">
        <f>G49-L49</f>
        <v/>
      </c>
      <c r="N49" s="5">
        <f>IF(L49&gt;0,M49/L49,"")</f>
        <v/>
      </c>
    </row>
    <row r="50">
      <c r="A50" t="n">
        <v>49</v>
      </c>
      <c r="B50" t="inlineStr">
        <is>
          <t>Giannis Antetokounmpo</t>
        </is>
      </c>
      <c r="C50" t="inlineStr">
        <is>
          <t>2019-20 Panini Obsidian Matrix Autographs Yellow #MA-GAN Giannis Antetokounmpo Signed Card (#10/10) - Panini Encased</t>
        </is>
      </c>
      <c r="D50" t="inlineStr">
        <is>
          <t>2026 Weekly Auction Mar 17 - Mar 26</t>
        </is>
      </c>
      <c r="E50" s="2" t="n">
        <v>145</v>
      </c>
      <c r="F50" s="2" t="n">
        <v>118.8524590163934</v>
      </c>
      <c r="G50" s="2" t="n">
        <v>136.6803278688525</v>
      </c>
      <c r="H50" t="inlineStr">
        <is>
          <t>Giannis Antetokounmpo 2019 Obsidian Matrix Yellow Auto MAGAN Bucks /10 PSA 9</t>
        </is>
      </c>
      <c r="I50" s="2" t="n">
        <v>520</v>
      </c>
      <c r="J50" s="3" t="n">
        <v>9.5</v>
      </c>
      <c r="K50" s="4" t="n"/>
      <c r="L50" s="2">
        <f>IF(K50&lt;&gt;"",K50,I50)</f>
        <v/>
      </c>
      <c r="M50" s="2">
        <f>G50-L50</f>
        <v/>
      </c>
      <c r="N50" s="5">
        <f>IF(L50&gt;0,M50/L50,"")</f>
        <v/>
      </c>
    </row>
    <row r="51">
      <c r="A51" t="n">
        <v>50</v>
      </c>
      <c r="B51" t="inlineStr">
        <is>
          <t>Giannis Antetokounmpo</t>
        </is>
      </c>
      <c r="C51" t="inlineStr">
        <is>
          <t>2025-26 Topps All Kings #AK-4 Giannis Antetokounmpo - PSA MINT 9</t>
        </is>
      </c>
      <c r="D51" t="inlineStr">
        <is>
          <t>2026 Weekly Auction Mar 24 - Apr 2</t>
        </is>
      </c>
      <c r="E51" s="2" t="n">
        <v>615</v>
      </c>
      <c r="F51" s="2" t="n">
        <v>504.0983606557377</v>
      </c>
      <c r="G51" s="2" t="n">
        <v>579.7131147540983</v>
      </c>
      <c r="H51" t="inlineStr">
        <is>
          <t>2025-26 Topps Basketball Giannis Antetokounmpo All Kings - CASE HIT - AK4 Bucks</t>
        </is>
      </c>
      <c r="I51" s="2" t="n">
        <v>673.95</v>
      </c>
      <c r="J51" s="3" t="n">
        <v>10</v>
      </c>
      <c r="K51" s="4" t="n"/>
      <c r="L51" s="2">
        <f>IF(K51&lt;&gt;"",K51,I51)</f>
        <v/>
      </c>
      <c r="M51" s="2">
        <f>G51-L51</f>
        <v/>
      </c>
      <c r="N51" s="5">
        <f>IF(L51&gt;0,M51/L51,"")</f>
        <v/>
      </c>
    </row>
    <row r="52">
      <c r="A52" t="n">
        <v>51</v>
      </c>
      <c r="B52" t="inlineStr">
        <is>
          <t>Grant Hill</t>
        </is>
      </c>
      <c r="C52" t="inlineStr">
        <is>
          <t>2024-25 Panini Noir Auto Noir Black and White #ANB-GHL Grant Hill Signed Card (#09/99) - Panini Encased</t>
        </is>
      </c>
      <c r="D52" t="inlineStr">
        <is>
          <t>2026 Weekly Auction Mar 24 - Apr 2</t>
        </is>
      </c>
      <c r="E52" s="2" t="n">
        <v>82</v>
      </c>
      <c r="F52" s="2" t="n">
        <v>67.21311475409836</v>
      </c>
      <c r="G52" s="2" t="n">
        <v>77.29508196721311</v>
      </c>
      <c r="H52" t="inlineStr">
        <is>
          <t>Grant Hill 2024-25 Panini Noir Auto Noir Black White /99 #ANB-GHL</t>
        </is>
      </c>
      <c r="I52" s="2" t="n">
        <v>64</v>
      </c>
      <c r="J52" s="3" t="n">
        <v>12.5</v>
      </c>
      <c r="K52" s="4" t="n"/>
      <c r="L52" s="2">
        <f>IF(K52&lt;&gt;"",K52,I52)</f>
        <v/>
      </c>
      <c r="M52" s="2">
        <f>G52-L52</f>
        <v/>
      </c>
      <c r="N52" s="5">
        <f>IF(L52&gt;0,M52/L52,"")</f>
        <v/>
      </c>
    </row>
    <row r="53">
      <c r="A53" t="n">
        <v>52</v>
      </c>
      <c r="B53" t="inlineStr">
        <is>
          <t>Hannah Hidalgo</t>
        </is>
      </c>
      <c r="C53" t="inlineStr">
        <is>
          <t>2024 Bowman U Now Autographs Orange #170 Hannah Hidalgo Signed Rookie Card (#2/5) - Topps Encased</t>
        </is>
      </c>
      <c r="D53" t="inlineStr">
        <is>
          <t>2026 Weekly Auction Apr 21 - Apr 30</t>
        </is>
      </c>
      <c r="E53" s="2" t="n">
        <v>330</v>
      </c>
      <c r="F53" s="2" t="n">
        <v>270.4918032786885</v>
      </c>
      <c r="G53" s="2" t="n">
        <v>311.0655737704918</v>
      </c>
      <c r="H53" t="inlineStr">
        <is>
          <t>2024 Bowman Best Hannah Hidalgo "Let It Rain" Player-Worn Patch Auto Gold 25/50</t>
        </is>
      </c>
      <c r="I53" s="2" t="n">
        <v>80</v>
      </c>
      <c r="J53" s="7" t="n">
        <v>7.5</v>
      </c>
      <c r="K53" s="4" t="n"/>
      <c r="L53" s="2">
        <f>IF(K53&lt;&gt;"",K53,I53)</f>
        <v/>
      </c>
      <c r="M53" s="2">
        <f>G53-L53</f>
        <v/>
      </c>
      <c r="N53" s="5">
        <f>IF(L53&gt;0,M53/L53,"")</f>
        <v/>
      </c>
    </row>
    <row r="54">
      <c r="A54" t="n">
        <v>53</v>
      </c>
      <c r="B54" t="inlineStr">
        <is>
          <t>Hannah Hidalgo</t>
        </is>
      </c>
      <c r="C54" t="inlineStr">
        <is>
          <t>2024-25 Bowman U Now Autographs Purple #17B Hannah Hidalgo Signed Card (#22/25) - PSA MINT 9</t>
        </is>
      </c>
      <c r="D54" t="inlineStr">
        <is>
          <t>2026 Weekly Auction Mar 24 - Apr 2</t>
        </is>
      </c>
      <c r="E54" s="2" t="n">
        <v>166</v>
      </c>
      <c r="F54" s="2" t="n">
        <v>136.0655737704918</v>
      </c>
      <c r="G54" s="2" t="n">
        <v>156.4754098360656</v>
      </c>
      <c r="H54" t="inlineStr">
        <is>
          <t>2024 Bowman U Now Hannah Hidalgo Notre Dame Purple Auto Psa 9 /25 #17B</t>
        </is>
      </c>
      <c r="I54" s="2" t="n">
        <v>358.55</v>
      </c>
      <c r="J54" s="3" t="n">
        <v>10</v>
      </c>
      <c r="K54" s="4" t="n"/>
      <c r="L54" s="2">
        <f>IF(K54&lt;&gt;"",K54,I54)</f>
        <v/>
      </c>
      <c r="M54" s="2">
        <f>G54-L54</f>
        <v/>
      </c>
      <c r="N54" s="5">
        <f>IF(L54&gt;0,M54/L54,"")</f>
        <v/>
      </c>
    </row>
    <row r="55">
      <c r="A55" t="n">
        <v>54</v>
      </c>
      <c r="B55" t="inlineStr">
        <is>
          <t>Ichiro Suzuki</t>
        </is>
      </c>
      <c r="C55" t="inlineStr">
        <is>
          <t>2007 Topps Allen &amp; Ginter #300 Ichiro Suzuki Signed Card - BGS Authentic Autograph</t>
        </is>
      </c>
      <c r="D55" t="inlineStr">
        <is>
          <t>2026 Weekly Auction Apr 28 - May 7</t>
        </is>
      </c>
      <c r="E55" s="2" t="n">
        <v>230</v>
      </c>
      <c r="F55" s="2" t="n">
        <v>188.5245901639344</v>
      </c>
      <c r="G55" s="2" t="n">
        <v>216.8032786885246</v>
      </c>
      <c r="H55" t="inlineStr">
        <is>
          <t>2007 Topps Allen &amp; Ginter's - Ichiro Suzuki #300 Autograph BGS Authentic Auto</t>
        </is>
      </c>
      <c r="I55" s="2" t="n">
        <v>227.59</v>
      </c>
      <c r="J55" s="3" t="n">
        <v>11</v>
      </c>
      <c r="K55" s="4" t="n"/>
      <c r="L55" s="2">
        <f>IF(K55&lt;&gt;"",K55,I55)</f>
        <v/>
      </c>
      <c r="M55" s="2">
        <f>G55-L55</f>
        <v/>
      </c>
      <c r="N55" s="5">
        <f>IF(L55&gt;0,M55/L55,"")</f>
        <v/>
      </c>
    </row>
    <row r="56">
      <c r="A56" t="n">
        <v>55</v>
      </c>
      <c r="B56" t="inlineStr">
        <is>
          <t>Jayson Tatum</t>
        </is>
      </c>
      <c r="C56" t="inlineStr">
        <is>
          <t>2020-21 Panini Contenders Optic Veteran Seasons Ticket Autograph Orange #VT-JTA Jayson Tatum Signed Card (#06/15) - PSA GEM MT 10, PSA/DNA GEM MT 10</t>
        </is>
      </c>
      <c r="D56" t="inlineStr">
        <is>
          <t>2026 Weekly Auction Mar 24 - Apr 2</t>
        </is>
      </c>
      <c r="E56" s="2" t="n">
        <v>760</v>
      </c>
      <c r="F56" s="2" t="n">
        <v>622.9508196721312</v>
      </c>
      <c r="G56" s="2" t="n">
        <v>716.3934426229508</v>
      </c>
      <c r="H56" t="inlineStr">
        <is>
          <t>2020-21 Contenders Optic Jayson Tatum Veteran Auto Orange /15 PSA 10 AUTO 10</t>
        </is>
      </c>
      <c r="I56" s="2" t="n">
        <v>972.99</v>
      </c>
      <c r="J56" s="3" t="n">
        <v>8.5</v>
      </c>
      <c r="K56" s="4" t="n"/>
      <c r="L56" s="2">
        <f>IF(K56&lt;&gt;"",K56,I56)</f>
        <v/>
      </c>
      <c r="M56" s="2">
        <f>G56-L56</f>
        <v/>
      </c>
      <c r="N56" s="5">
        <f>IF(L56&gt;0,M56/L56,"")</f>
        <v/>
      </c>
    </row>
    <row r="57">
      <c r="A57" t="n">
        <v>56</v>
      </c>
      <c r="B57" t="inlineStr">
        <is>
          <t>Jeremy Lin</t>
        </is>
      </c>
      <c r="C57" t="inlineStr">
        <is>
          <t>2010-11 Panini Classics #179 Jeremy Lin Signed Rookie Card - BGS GEM MINT 9.5, Beckett 10</t>
        </is>
      </c>
      <c r="D57" t="inlineStr">
        <is>
          <t>2026 Weekly Auction Apr 21 - Apr 30</t>
        </is>
      </c>
      <c r="E57" s="2" t="n">
        <v>260</v>
      </c>
      <c r="F57" s="2" t="n">
        <v>213.1147540983607</v>
      </c>
      <c r="G57" s="2" t="n">
        <v>245.0819672131148</v>
      </c>
      <c r="H57" t="inlineStr">
        <is>
          <t>2010-11 Panini Classics Jeremy Lin Rookie RC Auto BGS 9.5/10 Knicks Linsanity</t>
        </is>
      </c>
      <c r="I57" s="2" t="n">
        <v>564.95</v>
      </c>
      <c r="J57" s="6" t="n">
        <v>4</v>
      </c>
      <c r="K57" s="4" t="n"/>
      <c r="L57" s="2">
        <f>IF(K57&lt;&gt;"",K57,I57)</f>
        <v/>
      </c>
      <c r="M57" s="2">
        <f>G57-L57</f>
        <v/>
      </c>
      <c r="N57" s="5">
        <f>IF(L57&gt;0,M57/L57,"")</f>
        <v/>
      </c>
    </row>
    <row r="58">
      <c r="A58" t="n">
        <v>57</v>
      </c>
      <c r="B58" t="inlineStr">
        <is>
          <t>Jeremy Lin</t>
        </is>
      </c>
      <c r="C58" t="inlineStr">
        <is>
          <t>2016-17 Panini Donruss Optic Dominator Signatures Gold Vinyl #17 Jeremy Lin Signed Card (#1/1) - BGS PRISTINE 10, Beckett 10</t>
        </is>
      </c>
      <c r="D58" t="inlineStr">
        <is>
          <t>2026 Weekly Auction Mar 24 - Apr 2</t>
        </is>
      </c>
      <c r="E58" s="2" t="n">
        <v>1950</v>
      </c>
      <c r="F58" s="2" t="n">
        <v>1598.360655737705</v>
      </c>
      <c r="G58" s="2" t="n">
        <v>1838.114754098361</v>
      </c>
      <c r="H58" t="inlineStr">
        <is>
          <t>ULTRA RARE🏀Jeremy Lin 2016 17 Donruss Optic GREEN PRIZM AUTOGRAPH AUTO#D/5!HOF?</t>
        </is>
      </c>
      <c r="I58" s="2" t="n">
        <v>155.24</v>
      </c>
      <c r="J58" s="7" t="n">
        <v>7</v>
      </c>
      <c r="K58" s="4" t="n"/>
      <c r="L58" s="2">
        <f>IF(K58&lt;&gt;"",K58,I58)</f>
        <v/>
      </c>
      <c r="M58" s="2">
        <f>G58-L58</f>
        <v/>
      </c>
      <c r="N58" s="5">
        <f>IF(L58&gt;0,M58/L58,"")</f>
        <v/>
      </c>
    </row>
    <row r="59">
      <c r="A59" t="n">
        <v>58</v>
      </c>
      <c r="B59" t="inlineStr">
        <is>
          <t>Julius Erving</t>
        </is>
      </c>
      <c r="C59" t="inlineStr">
        <is>
          <t>2012-13 Upper Deck Exquisite Collection Dimensions #D-JE Julius Erving Signed Card</t>
        </is>
      </c>
      <c r="D59" t="inlineStr">
        <is>
          <t>2026 Weekly Auction Mar 3 - Mar 12</t>
        </is>
      </c>
      <c r="E59" s="2" t="n">
        <v>102</v>
      </c>
      <c r="F59" s="2" t="n">
        <v>83.60655737704919</v>
      </c>
      <c r="G59" s="2" t="n">
        <v>96.14754098360656</v>
      </c>
      <c r="H59" t="inlineStr">
        <is>
          <t>2012-13 Upper Deck Exquisite Collection Julius Erving Dimensions Auto</t>
        </is>
      </c>
      <c r="I59" s="2" t="n">
        <v>235.95</v>
      </c>
      <c r="J59" s="7" t="n">
        <v>5</v>
      </c>
      <c r="K59" s="4" t="n"/>
      <c r="L59" s="2">
        <f>IF(K59&lt;&gt;"",K59,I59)</f>
        <v/>
      </c>
      <c r="M59" s="2">
        <f>G59-L59</f>
        <v/>
      </c>
      <c r="N59" s="5">
        <f>IF(L59&gt;0,M59/L59,"")</f>
        <v/>
      </c>
    </row>
    <row r="60">
      <c r="A60" t="n">
        <v>59</v>
      </c>
      <c r="B60" t="inlineStr">
        <is>
          <t>Julius Erving</t>
        </is>
      </c>
      <c r="C60" t="inlineStr">
        <is>
          <t>2012-13 Upper Deck Exquisite Collection Signatures #S-JE Julius Erving Signed Card (#25/30) - PSA MINT 9</t>
        </is>
      </c>
      <c r="D60" t="inlineStr">
        <is>
          <t>2026 Weekly Auction Mar 24 - Apr 2</t>
        </is>
      </c>
      <c r="E60" s="2" t="n">
        <v>145</v>
      </c>
      <c r="F60" s="2" t="n">
        <v>118.8524590163934</v>
      </c>
      <c r="G60" s="2" t="n">
        <v>136.6803278688525</v>
      </c>
      <c r="H60" t="inlineStr">
        <is>
          <t>2012 Upper Deck Exquisite Collection Signatures Julius Erving #S-JE #25/30 PSA 9</t>
        </is>
      </c>
      <c r="I60" s="2" t="n">
        <v>330.37</v>
      </c>
      <c r="J60" s="3" t="n">
        <v>9.5</v>
      </c>
      <c r="K60" s="4" t="n"/>
      <c r="L60" s="2">
        <f>IF(K60&lt;&gt;"",K60,I60)</f>
        <v/>
      </c>
      <c r="M60" s="2">
        <f>G60-L60</f>
        <v/>
      </c>
      <c r="N60" s="5">
        <f>IF(L60&gt;0,M60/L60,"")</f>
        <v/>
      </c>
    </row>
    <row r="61">
      <c r="A61" t="n">
        <v>60</v>
      </c>
      <c r="B61" t="inlineStr">
        <is>
          <t>Kevin Durant</t>
        </is>
      </c>
      <c r="C61" t="inlineStr">
        <is>
          <t>2020-21 Panini Flawless USA Basketball #USA-DUR Kevin Durant Signed Card (#04/10) - Panini Encased</t>
        </is>
      </c>
      <c r="D61" t="inlineStr">
        <is>
          <t>2026 Weekly Auction Mar 24 - Apr 2</t>
        </is>
      </c>
      <c r="E61" s="2" t="n">
        <v>770</v>
      </c>
      <c r="F61" s="2" t="n">
        <v>631.1475409836065</v>
      </c>
      <c r="G61" s="2" t="n">
        <v>725.8196721311474</v>
      </c>
      <c r="H61" t="inlineStr">
        <is>
          <t>2020-21 Panini Flawless Kevin Durant Gold USA Auto /10 #USA-DUR</t>
        </is>
      </c>
      <c r="I61" s="2" t="n">
        <v>743</v>
      </c>
      <c r="J61" s="3" t="n">
        <v>12</v>
      </c>
      <c r="K61" s="4" t="n"/>
      <c r="L61" s="2">
        <f>IF(K61&lt;&gt;"",K61,I61)</f>
        <v/>
      </c>
      <c r="M61" s="2">
        <f>G61-L61</f>
        <v/>
      </c>
      <c r="N61" s="5">
        <f>IF(L61&gt;0,M61/L61,"")</f>
        <v/>
      </c>
    </row>
    <row r="62">
      <c r="A62" t="n">
        <v>61</v>
      </c>
      <c r="B62" t="inlineStr">
        <is>
          <t>Kevin Garnett</t>
        </is>
      </c>
      <c r="C62" t="inlineStr">
        <is>
          <t>2024-25 Panini Eminence NBA 75th Team Autographs #NBA-KEV Kevin Garnett Signed Card (#06/10) - Panini Encased</t>
        </is>
      </c>
      <c r="D62" t="inlineStr">
        <is>
          <t>2026 Weekly Auction Apr 21 - Apr 30</t>
        </is>
      </c>
      <c r="E62" s="2" t="n">
        <v>351</v>
      </c>
      <c r="F62" s="2" t="n">
        <v>287.7049180327869</v>
      </c>
      <c r="G62" s="2" t="n">
        <v>330.8606557377049</v>
      </c>
      <c r="H62" t="inlineStr">
        <is>
          <t>1/3 ≈1/1 2024-25 Panini Eminence Kevin Garnett Emerald NBA 75th Anniversary Auto</t>
        </is>
      </c>
      <c r="I62" s="2" t="n">
        <v>1194.35</v>
      </c>
      <c r="J62" s="7" t="n">
        <v>5.5</v>
      </c>
      <c r="K62" s="4" t="n"/>
      <c r="L62" s="2">
        <f>IF(K62&lt;&gt;"",K62,I62)</f>
        <v/>
      </c>
      <c r="M62" s="2">
        <f>G62-L62</f>
        <v/>
      </c>
      <c r="N62" s="5">
        <f>IF(L62&gt;0,M62/L62,"")</f>
        <v/>
      </c>
    </row>
    <row r="63">
      <c r="A63" t="n">
        <v>62</v>
      </c>
      <c r="B63" t="inlineStr">
        <is>
          <t>Kevin Garnett</t>
        </is>
      </c>
      <c r="C63" t="inlineStr">
        <is>
          <t>2024-25 Panini Eminence NBA 75th Team Autographs Emerald #NBA-KEV Kevin Garnett Signed Card (#1/3) - Panini Encased</t>
        </is>
      </c>
      <c r="D63" t="inlineStr">
        <is>
          <t>2026 April Elite Auction</t>
        </is>
      </c>
      <c r="E63" s="2" t="n">
        <v>511</v>
      </c>
      <c r="F63" s="2" t="n">
        <v>418.8524590163934</v>
      </c>
      <c r="G63" s="2" t="n">
        <v>481.6803278688524</v>
      </c>
      <c r="H63" t="inlineStr">
        <is>
          <t>1/3 ≈1/1 2024-25 Panini Eminence Kevin Garnett Emerald NBA 75th Anniversary Auto</t>
        </is>
      </c>
      <c r="I63" s="2" t="n">
        <v>1194.35</v>
      </c>
      <c r="J63" s="3" t="n">
        <v>8</v>
      </c>
      <c r="K63" s="4" t="n"/>
      <c r="L63" s="2">
        <f>IF(K63&lt;&gt;"",K63,I63)</f>
        <v/>
      </c>
      <c r="M63" s="2">
        <f>G63-L63</f>
        <v/>
      </c>
      <c r="N63" s="5">
        <f>IF(L63&gt;0,M63/L63,"")</f>
        <v/>
      </c>
    </row>
    <row r="64">
      <c r="A64" t="n">
        <v>63</v>
      </c>
      <c r="B64" t="inlineStr">
        <is>
          <t>Kobe Bryant</t>
        </is>
      </c>
      <c r="C64" t="inlineStr">
        <is>
          <t>1997-98 Fleer Ultra Gold Medallion #1G Kobe Bryant - PSA MINT 9</t>
        </is>
      </c>
      <c r="D64" t="inlineStr">
        <is>
          <t>2026 Weekly Auction May 19 - May 28</t>
        </is>
      </c>
      <c r="E64" s="2" t="n">
        <v>1408</v>
      </c>
      <c r="F64" s="2" t="n">
        <v>1154.098360655738</v>
      </c>
      <c r="G64" s="2" t="n">
        <v>1327.213114754098</v>
      </c>
      <c r="H64" t="inlineStr">
        <is>
          <t>1997 FLEER ULTRA GOLD MEDALLION #1G KOBE BRYANT PSA 9</t>
        </is>
      </c>
      <c r="I64" s="2" t="n">
        <v>681.84</v>
      </c>
      <c r="J64" s="3" t="n">
        <v>8</v>
      </c>
      <c r="K64" s="4" t="n"/>
      <c r="L64" s="2">
        <f>IF(K64&lt;&gt;"",K64,I64)</f>
        <v/>
      </c>
      <c r="M64" s="2">
        <f>G64-L64</f>
        <v/>
      </c>
      <c r="N64" s="5">
        <f>IF(L64&gt;0,M64/L64,"")</f>
        <v/>
      </c>
    </row>
    <row r="65">
      <c r="A65" t="n">
        <v>64</v>
      </c>
      <c r="B65" t="inlineStr">
        <is>
          <t>Kobe Bryant</t>
        </is>
      </c>
      <c r="C65" t="inlineStr">
        <is>
          <t>2007-08 Topps Finest Refractor #24 Kobe Bryant - PSA GEM MT 10</t>
        </is>
      </c>
      <c r="D65" t="inlineStr">
        <is>
          <t>2026 April Elite Auction</t>
        </is>
      </c>
      <c r="E65" s="2" t="n">
        <v>910</v>
      </c>
      <c r="F65" s="2" t="n">
        <v>745.9016393442623</v>
      </c>
      <c r="G65" s="2" t="n">
        <v>857.7868852459017</v>
      </c>
      <c r="H65" t="inlineStr">
        <is>
          <t>2007-08 UD Premier-Premier Penmanship Kobe Bryant #PEN-KB Gold /24 BGS 9 Auto 10</t>
        </is>
      </c>
      <c r="I65" s="2" t="n">
        <v>6000</v>
      </c>
      <c r="J65" s="3" t="n">
        <v>8</v>
      </c>
      <c r="K65" s="4" t="n"/>
      <c r="L65" s="2">
        <f>IF(K65&lt;&gt;"",K65,I65)</f>
        <v/>
      </c>
      <c r="M65" s="2">
        <f>G65-L65</f>
        <v/>
      </c>
      <c r="N65" s="5">
        <f>IF(L65&gt;0,M65/L65,"")</f>
        <v/>
      </c>
    </row>
    <row r="66">
      <c r="A66" t="n">
        <v>65</v>
      </c>
      <c r="B66" t="inlineStr">
        <is>
          <t>Kobe Bryant</t>
        </is>
      </c>
      <c r="C66" t="inlineStr">
        <is>
          <t>2015-16 Panini Noir Autographs Color Gold #NC-KBR Kobe Bryant Signed Card (#4/5) - PSA EX-MT 6 - Pop 1</t>
        </is>
      </c>
      <c r="D66" t="inlineStr">
        <is>
          <t>2026 March Elite Auction</t>
        </is>
      </c>
      <c r="E66" s="2" t="n">
        <v>3300</v>
      </c>
      <c r="F66" s="2" t="n">
        <v>2704.918032786885</v>
      </c>
      <c r="G66" s="2" t="n">
        <v>3110.655737704918</v>
      </c>
      <c r="H66" t="inlineStr">
        <is>
          <t>KOBE BRYANT 2015-16 PANINI NOIR AUTOGRAPH GOLD INK LAKERS AUTO /5 Q3873</t>
        </is>
      </c>
      <c r="I66" s="2" t="n">
        <v>3575</v>
      </c>
      <c r="J66" s="3" t="n">
        <v>8</v>
      </c>
      <c r="K66" s="4" t="n"/>
      <c r="L66" s="2">
        <f>IF(K66&lt;&gt;"",K66,I66)</f>
        <v/>
      </c>
      <c r="M66" s="2">
        <f>G66-L66</f>
        <v/>
      </c>
      <c r="N66" s="5">
        <f>IF(L66&gt;0,M66/L66,"")</f>
        <v/>
      </c>
    </row>
    <row r="67">
      <c r="A67" t="n">
        <v>66</v>
      </c>
      <c r="B67" t="inlineStr">
        <is>
          <t>Kobe Bryant</t>
        </is>
      </c>
      <c r="C67" t="inlineStr">
        <is>
          <t>2018-19 Panini National Treasures Peerless Signatures #PS-KBR Kobe Bryant Signed Card (#03/25) - BGS MINT 9, Beckett 10</t>
        </is>
      </c>
      <c r="D67" t="inlineStr">
        <is>
          <t>2026 April Elite Auction</t>
        </is>
      </c>
      <c r="E67" s="2" t="n">
        <v>3500</v>
      </c>
      <c r="F67" s="2" t="n">
        <v>2868.852459016393</v>
      </c>
      <c r="G67" s="2" t="n">
        <v>3299.180327868852</v>
      </c>
      <c r="H67" t="inlineStr">
        <is>
          <t>2018-19 Noir LeBron James Kobe Bryant #/25 Lakers BGS 9</t>
        </is>
      </c>
      <c r="I67" s="2" t="n">
        <v>909.99</v>
      </c>
      <c r="J67" s="7" t="n">
        <v>5.5</v>
      </c>
      <c r="K67" s="4" t="n"/>
      <c r="L67" s="2">
        <f>IF(K67&lt;&gt;"",K67,I67)</f>
        <v/>
      </c>
      <c r="M67" s="2">
        <f>G67-L67</f>
        <v/>
      </c>
      <c r="N67" s="5">
        <f>IF(L67&gt;0,M67/L67,"")</f>
        <v/>
      </c>
    </row>
    <row r="68">
      <c r="A68" t="n">
        <v>67</v>
      </c>
      <c r="B68" t="inlineStr">
        <is>
          <t>LeBron James</t>
        </is>
      </c>
      <c r="C68" t="inlineStr">
        <is>
          <t>2003-04 Upper Deck Top Prospects Signs of Success #SS-LJ LeBron James Signed Rookie Card - BGS MINT 9, Beckett 10</t>
        </is>
      </c>
      <c r="D68" t="inlineStr">
        <is>
          <t>2026 April Elite Auction</t>
        </is>
      </c>
      <c r="E68" s="2" t="n">
        <v>2650</v>
      </c>
      <c r="F68" s="2" t="n">
        <v>2172.131147540984</v>
      </c>
      <c r="G68" s="2" t="n">
        <v>2497.950819672131</v>
      </c>
      <c r="H68" t="inlineStr">
        <is>
          <t>2003-04 Upper Deck Triple Dimensions LeBron James Reflections RC #/300 BGS 9</t>
        </is>
      </c>
      <c r="I68" s="2" t="n">
        <v>1079.99</v>
      </c>
      <c r="J68" s="7" t="n">
        <v>5.5</v>
      </c>
      <c r="K68" s="4" t="n"/>
      <c r="L68" s="2">
        <f>IF(K68&lt;&gt;"",K68,I68)</f>
        <v/>
      </c>
      <c r="M68" s="2">
        <f>G68-L68</f>
        <v/>
      </c>
      <c r="N68" s="5">
        <f>IF(L68&gt;0,M68/L68,"")</f>
        <v/>
      </c>
    </row>
    <row r="69">
      <c r="A69" t="n">
        <v>68</v>
      </c>
      <c r="B69" t="inlineStr">
        <is>
          <t>LeBron James</t>
        </is>
      </c>
      <c r="C69" t="inlineStr">
        <is>
          <t>2003-04 eTopps #43 LeBron James Rookie Card - PSA MINT 9</t>
        </is>
      </c>
      <c r="D69" t="inlineStr">
        <is>
          <t>2026 Weekly Auction Mar 24 - Apr 2</t>
        </is>
      </c>
      <c r="E69" s="2" t="n">
        <v>306</v>
      </c>
      <c r="F69" s="2" t="n">
        <v>250.8196721311475</v>
      </c>
      <c r="G69" s="2" t="n">
        <v>288.4426229508197</v>
      </c>
      <c r="H69" t="inlineStr">
        <is>
          <t>LEBRON JAMES PSA 10 2003-04 TOPPS CHROME BASKETBALL #111 ROOKIE GEM RC LAKERS</t>
        </is>
      </c>
      <c r="I69" s="2" t="n">
        <v>7555</v>
      </c>
      <c r="J69" s="7" t="n">
        <v>6</v>
      </c>
      <c r="K69" s="4" t="n"/>
      <c r="L69" s="2">
        <f>IF(K69&lt;&gt;"",K69,I69)</f>
        <v/>
      </c>
      <c r="M69" s="2">
        <f>G69-L69</f>
        <v/>
      </c>
      <c r="N69" s="5">
        <f>IF(L69&gt;0,M69/L69,"")</f>
        <v/>
      </c>
    </row>
    <row r="70">
      <c r="A70" t="n">
        <v>69</v>
      </c>
      <c r="B70" t="inlineStr">
        <is>
          <t>LeBron James</t>
        </is>
      </c>
      <c r="C70" t="inlineStr">
        <is>
          <t>2009-10 Upper Deck SP Game Used 3 Star Swatches #3S-BMJ Kobe Bryant/LeBron James/Oscar Robertson Relic Card (#182/299) - BGS NM-MT 8</t>
        </is>
      </c>
      <c r="D70" t="inlineStr">
        <is>
          <t>2026 Weekly Auction Mar 24 - Apr 2</t>
        </is>
      </c>
      <c r="E70" s="2" t="n">
        <v>383</v>
      </c>
      <c r="F70" s="2" t="n">
        <v>313.9344262295082</v>
      </c>
      <c r="G70" s="2" t="n">
        <v>361.0245901639344</v>
      </c>
      <c r="H70" t="inlineStr">
        <is>
          <t>KOBE BRYANT LEBRON JAMES 2009-10 UD SP GAME USED 3 STAR PATCH /299 BGS 8 Q0034</t>
        </is>
      </c>
      <c r="I70" s="2" t="n">
        <v>305.25</v>
      </c>
      <c r="J70" s="7" t="n">
        <v>5.5</v>
      </c>
      <c r="K70" s="4" t="n"/>
      <c r="L70" s="2">
        <f>IF(K70&lt;&gt;"",K70,I70)</f>
        <v/>
      </c>
      <c r="M70" s="2">
        <f>G70-L70</f>
        <v/>
      </c>
      <c r="N70" s="5">
        <f>IF(L70&gt;0,M70/L70,"")</f>
        <v/>
      </c>
    </row>
    <row r="71">
      <c r="A71" t="n">
        <v>70</v>
      </c>
      <c r="B71" t="inlineStr">
        <is>
          <t>LeBron James</t>
        </is>
      </c>
      <c r="C71" t="inlineStr">
        <is>
          <t>2011-12 Fleer Retro Flair Showcase #FL-2 LeBron James (#100/150) - BGS MINT 9</t>
        </is>
      </c>
      <c r="D71" t="inlineStr">
        <is>
          <t>2026 April Elite Auction</t>
        </is>
      </c>
      <c r="E71" s="2" t="n">
        <v>310</v>
      </c>
      <c r="F71" s="2" t="n">
        <v>254.0983606557377</v>
      </c>
      <c r="G71" s="2" t="n">
        <v>292.2131147540983</v>
      </c>
      <c r="H71" t="inlineStr">
        <is>
          <t>2011-12 Fleer Retro - Flair Showcase LeBron James ROW 0!! #FL-2 /150 BGS 9</t>
        </is>
      </c>
      <c r="I71" s="2" t="n">
        <v>355.14</v>
      </c>
      <c r="J71" s="3" t="n">
        <v>12.5</v>
      </c>
      <c r="K71" s="4" t="n"/>
      <c r="L71" s="2">
        <f>IF(K71&lt;&gt;"",K71,I71)</f>
        <v/>
      </c>
      <c r="M71" s="2">
        <f>G71-L71</f>
        <v/>
      </c>
      <c r="N71" s="5">
        <f>IF(L71&gt;0,M71/L71,"")</f>
        <v/>
      </c>
    </row>
    <row r="72">
      <c r="A72" t="n">
        <v>71</v>
      </c>
      <c r="B72" t="inlineStr">
        <is>
          <t>LeBron James</t>
        </is>
      </c>
      <c r="C72" t="inlineStr">
        <is>
          <t>2013 Upper Deck All-Time Greats Signatures Silver #ATG-LJ3 LeBron James Signed Card (#3/5) - BGS MINT 9, Beckett 10</t>
        </is>
      </c>
      <c r="D72" t="inlineStr">
        <is>
          <t>2026 April Elite Auction</t>
        </is>
      </c>
      <c r="E72" s="2" t="n">
        <v>3256</v>
      </c>
      <c r="F72" s="2" t="n">
        <v>2668.852459016393</v>
      </c>
      <c r="G72" s="2" t="n">
        <v>3069.180327868852</v>
      </c>
      <c r="H72" t="inlineStr">
        <is>
          <t>2013 UD All-Time Greats LeBron James Signatures Auto BGS 9/Auto 10 #3/5</t>
        </is>
      </c>
      <c r="I72" s="2" t="n">
        <v>3560.15</v>
      </c>
      <c r="J72" s="7" t="n">
        <v>5.5</v>
      </c>
      <c r="K72" s="4" t="n"/>
      <c r="L72" s="2">
        <f>IF(K72&lt;&gt;"",K72,I72)</f>
        <v/>
      </c>
      <c r="M72" s="2">
        <f>G72-L72</f>
        <v/>
      </c>
      <c r="N72" s="5">
        <f>IF(L72&gt;0,M72/L72,"")</f>
        <v/>
      </c>
    </row>
    <row r="73">
      <c r="A73" t="n">
        <v>72</v>
      </c>
      <c r="B73" t="inlineStr">
        <is>
          <t>LeBron James</t>
        </is>
      </c>
      <c r="C73" t="inlineStr">
        <is>
          <t>2024-25 Panini Flawless All-Stars #138 LeBron James Diamond Relic Card (#04/10) - Panini Encased</t>
        </is>
      </c>
      <c r="D73" t="inlineStr">
        <is>
          <t>2026 Weekly Auction Apr 14 - Apr 23</t>
        </is>
      </c>
      <c r="E73" s="2" t="n">
        <v>481</v>
      </c>
      <c r="F73" s="2" t="n">
        <v>394.2622950819672</v>
      </c>
      <c r="G73" s="2" t="n">
        <v>453.4016393442623</v>
      </c>
      <c r="H73" t="inlineStr">
        <is>
          <t>2024-25 Panini Flawless Lebron James #138 All-Stars Diamond Lakers /10</t>
        </is>
      </c>
      <c r="I73" s="2" t="n">
        <v>639.33</v>
      </c>
      <c r="J73" s="3" t="n">
        <v>12</v>
      </c>
      <c r="K73" s="4" t="n"/>
      <c r="L73" s="2">
        <f>IF(K73&lt;&gt;"",K73,I73)</f>
        <v/>
      </c>
      <c r="M73" s="2">
        <f>G73-L73</f>
        <v/>
      </c>
      <c r="N73" s="5">
        <f>IF(L73&gt;0,M73/L73,"")</f>
        <v/>
      </c>
    </row>
    <row r="74">
      <c r="A74" t="n">
        <v>73</v>
      </c>
      <c r="B74" t="inlineStr">
        <is>
          <t>LeBron James</t>
        </is>
      </c>
      <c r="C74" t="inlineStr">
        <is>
          <t>2025-26 Topps All Kings #AK-3 LeBron James - PSA NM-MT 8</t>
        </is>
      </c>
      <c r="D74" t="inlineStr">
        <is>
          <t>2026 Weekly Auction May 19 - May 28</t>
        </is>
      </c>
      <c r="E74" s="2" t="n">
        <v>2200</v>
      </c>
      <c r="F74" s="2" t="n">
        <v>1803.27868852459</v>
      </c>
      <c r="G74" s="2" t="n">
        <v>2073.770491803279</v>
      </c>
      <c r="H74" t="inlineStr">
        <is>
          <t>LEBRON JAMES 2025-26 Topps ALL KINGS Case Hit SSP AK-3 Lakers</t>
        </is>
      </c>
      <c r="I74" s="2" t="n">
        <v>2040.15</v>
      </c>
      <c r="J74" s="3" t="n">
        <v>10</v>
      </c>
      <c r="K74" s="4" t="n"/>
      <c r="L74" s="2">
        <f>IF(K74&lt;&gt;"",K74,I74)</f>
        <v/>
      </c>
      <c r="M74" s="2">
        <f>G74-L74</f>
        <v/>
      </c>
      <c r="N74" s="5">
        <f>IF(L74&gt;0,M74/L74,"")</f>
        <v/>
      </c>
    </row>
    <row r="75">
      <c r="A75" t="n">
        <v>74</v>
      </c>
      <c r="B75" t="inlineStr">
        <is>
          <t>Luka Doncic</t>
        </is>
      </c>
      <c r="C75" t="inlineStr">
        <is>
          <t>2018-19 Panini Contenders Optic Rookie Ticket Autographs Red #128 Luka Doncic, Dribbling, Signed Rookie Card (#86/99) - Panini Encased</t>
        </is>
      </c>
      <c r="D75" t="inlineStr">
        <is>
          <t>2026 April Elite Auction</t>
        </is>
      </c>
      <c r="E75" s="2" t="n">
        <v>2500</v>
      </c>
      <c r="F75" s="2" t="n">
        <v>2049.180327868853</v>
      </c>
      <c r="G75" s="2" t="n">
        <v>2356.55737704918</v>
      </c>
      <c r="H75" t="inlineStr">
        <is>
          <t>2018 Panini Contenders - Luka Doncic Optic Red #128 - Rookie Ticket - AUTO /99</t>
        </is>
      </c>
      <c r="I75" s="2" t="n">
        <v>3060</v>
      </c>
      <c r="J75" s="3" t="n">
        <v>10.5</v>
      </c>
      <c r="K75" s="4" t="n"/>
      <c r="L75" s="2">
        <f>IF(K75&lt;&gt;"",K75,I75)</f>
        <v/>
      </c>
      <c r="M75" s="2">
        <f>G75-L75</f>
        <v/>
      </c>
      <c r="N75" s="5">
        <f>IF(L75&gt;0,M75/L75,"")</f>
        <v/>
      </c>
    </row>
    <row r="76">
      <c r="A76" t="n">
        <v>75</v>
      </c>
      <c r="B76" t="inlineStr">
        <is>
          <t>Luka Doncic</t>
        </is>
      </c>
      <c r="C76" t="inlineStr">
        <is>
          <t>2018-19 Panini Prizm Luck of The Lottery Silver Prizm #3 Luka Doncic Rookie Card - PSA GEM MT 10</t>
        </is>
      </c>
      <c r="D76" t="inlineStr">
        <is>
          <t>2026 Weekly Auction Mar 31 - Apr 9</t>
        </is>
      </c>
      <c r="E76" s="2" t="n">
        <v>185</v>
      </c>
      <c r="F76" s="2" t="n">
        <v>151.6393442622951</v>
      </c>
      <c r="G76" s="2" t="n">
        <v>174.3852459016393</v>
      </c>
      <c r="H76" t="inlineStr">
        <is>
          <t>2018-19 Prizm Luka Doncic Luck of the Lottery Silver Rookie RC #3 PSA 10</t>
        </is>
      </c>
      <c r="I76" s="2" t="n">
        <v>290</v>
      </c>
      <c r="J76" s="7" t="n">
        <v>7</v>
      </c>
      <c r="K76" s="4" t="n"/>
      <c r="L76" s="2">
        <f>IF(K76&lt;&gt;"",K76,I76)</f>
        <v/>
      </c>
      <c r="M76" s="2">
        <f>G76-L76</f>
        <v/>
      </c>
      <c r="N76" s="5">
        <f>IF(L76&gt;0,M76/L76,"")</f>
        <v/>
      </c>
    </row>
    <row r="77">
      <c r="A77" t="n">
        <v>76</v>
      </c>
      <c r="B77" t="inlineStr">
        <is>
          <t>Luka Doncic</t>
        </is>
      </c>
      <c r="C77" t="inlineStr">
        <is>
          <t>2018-19 Panini Prizm Rookie Signatures #RS-LDC Luka Doncic Signed Rookie Card - BGS GEM MINT 9.5, Beckett 10</t>
        </is>
      </c>
      <c r="D77" t="inlineStr">
        <is>
          <t>2026 April Elite Auction</t>
        </is>
      </c>
      <c r="E77" s="2" t="n">
        <v>1300</v>
      </c>
      <c r="F77" s="2" t="n">
        <v>1065.573770491803</v>
      </c>
      <c r="G77" s="2" t="n">
        <v>1225.409836065574</v>
      </c>
      <c r="H77" t="inlineStr">
        <is>
          <t>LUKA DONCIC 2018-19 PANINI PRIZM ROOKIE SIGNATURES AUTO 10 RC BGS 9.5 Q2167</t>
        </is>
      </c>
      <c r="I77" s="2" t="n">
        <v>2055.25</v>
      </c>
      <c r="J77" s="7" t="n">
        <v>6.5</v>
      </c>
      <c r="K77" s="4" t="n"/>
      <c r="L77" s="2">
        <f>IF(K77&lt;&gt;"",K77,I77)</f>
        <v/>
      </c>
      <c r="M77" s="2">
        <f>G77-L77</f>
        <v/>
      </c>
      <c r="N77" s="5">
        <f>IF(L77&gt;0,M77/L77,"")</f>
        <v/>
      </c>
    </row>
    <row r="78">
      <c r="A78" t="n">
        <v>77</v>
      </c>
      <c r="B78" t="inlineStr">
        <is>
          <t>Luka Doncic</t>
        </is>
      </c>
      <c r="C78" t="inlineStr">
        <is>
          <t>2018-19 Panini Spectra Neon Pink #6 Luka Doncic (#08/25) - PSA MINT 9</t>
        </is>
      </c>
      <c r="D78" t="inlineStr">
        <is>
          <t>2026 Weekly Auction Mar 24 - Apr 2</t>
        </is>
      </c>
      <c r="E78" s="2" t="n">
        <v>450</v>
      </c>
      <c r="F78" s="2" t="n">
        <v>368.8524590163934</v>
      </c>
      <c r="G78" s="2" t="n">
        <v>424.1803278688524</v>
      </c>
      <c r="H78" t="inlineStr">
        <is>
          <t>2018-19 Panini Encased Luka Doncic #170 Red Notable RC /25 BGS 9.5 MINT Auto 10</t>
        </is>
      </c>
      <c r="I78" s="2" t="n">
        <v>3404.63</v>
      </c>
      <c r="J78" s="7" t="n">
        <v>5</v>
      </c>
      <c r="K78" s="4" t="n"/>
      <c r="L78" s="2">
        <f>IF(K78&lt;&gt;"",K78,I78)</f>
        <v/>
      </c>
      <c r="M78" s="2">
        <f>G78-L78</f>
        <v/>
      </c>
      <c r="N78" s="5">
        <f>IF(L78&gt;0,M78/L78,"")</f>
        <v/>
      </c>
    </row>
    <row r="79">
      <c r="A79" t="n">
        <v>78</v>
      </c>
      <c r="B79" t="inlineStr">
        <is>
          <t>Luka Doncic</t>
        </is>
      </c>
      <c r="C79" t="inlineStr">
        <is>
          <t>2018-19 Panini Spectra Rising Stars Signatures Neon Pink #RS-LDC Luka Doncic Signed Rookie Card (#10/25) - BGS NM-MT+ 8.5, Beckett 10</t>
        </is>
      </c>
      <c r="D79" t="inlineStr">
        <is>
          <t>2026 April Elite Auction</t>
        </is>
      </c>
      <c r="E79" s="2" t="n">
        <v>1250</v>
      </c>
      <c r="F79" s="2" t="n">
        <v>1024.590163934426</v>
      </c>
      <c r="G79" s="2" t="n">
        <v>1178.27868852459</v>
      </c>
      <c r="H79" t="inlineStr">
        <is>
          <t>2018-19 Panini Encased Luka Doncic #170 Red Notable RC /25 BGS 9.5 MINT Auto 10</t>
        </is>
      </c>
      <c r="I79" s="2" t="n">
        <v>3404.63</v>
      </c>
      <c r="J79" s="7" t="n">
        <v>5.5</v>
      </c>
      <c r="K79" s="4" t="n"/>
      <c r="L79" s="2">
        <f>IF(K79&lt;&gt;"",K79,I79)</f>
        <v/>
      </c>
      <c r="M79" s="2">
        <f>G79-L79</f>
        <v/>
      </c>
      <c r="N79" s="5">
        <f>IF(L79&gt;0,M79/L79,"")</f>
        <v/>
      </c>
    </row>
    <row r="80">
      <c r="A80" t="n">
        <v>79</v>
      </c>
      <c r="B80" t="inlineStr">
        <is>
          <t>Luka Doncic</t>
        </is>
      </c>
      <c r="C80" t="inlineStr">
        <is>
          <t>2020-21 Panini Mosaic Autographs Mosaic #AM-LUK Luka Doncic Signed Card - PSA MINT 9</t>
        </is>
      </c>
      <c r="D80" t="inlineStr">
        <is>
          <t>2026 Weekly Auction Mar 24 - Apr 2</t>
        </is>
      </c>
      <c r="E80" s="2" t="n">
        <v>950</v>
      </c>
      <c r="F80" s="2" t="n">
        <v>778.688524590164</v>
      </c>
      <c r="G80" s="2" t="n">
        <v>895.4918032786885</v>
      </c>
      <c r="H80" t="inlineStr">
        <is>
          <t>2020-21 Mosaic Luka Doncic Auto #AM-LUK Mavericks PSA 9</t>
        </is>
      </c>
      <c r="I80" s="2" t="n">
        <v>887.99</v>
      </c>
      <c r="J80" s="3" t="n">
        <v>11</v>
      </c>
      <c r="K80" s="4" t="n"/>
      <c r="L80" s="2">
        <f>IF(K80&lt;&gt;"",K80,I80)</f>
        <v/>
      </c>
      <c r="M80" s="2">
        <f>G80-L80</f>
        <v/>
      </c>
      <c r="N80" s="5">
        <f>IF(L80&gt;0,M80/L80,"")</f>
        <v/>
      </c>
    </row>
    <row r="81">
      <c r="A81" t="n">
        <v>80</v>
      </c>
      <c r="B81" t="inlineStr">
        <is>
          <t>Luka Doncic</t>
        </is>
      </c>
      <c r="C81" t="inlineStr">
        <is>
          <t>2020-21 Panini National Treasures Treasured Signatures Bronze #TS-LUD Luka Doncic Signed Card (#25/25) - PSA MINT 9</t>
        </is>
      </c>
      <c r="D81" t="inlineStr">
        <is>
          <t>2026 Weekly Auction Mar 24 - Apr 2</t>
        </is>
      </c>
      <c r="E81" s="2" t="n">
        <v>1273</v>
      </c>
      <c r="F81" s="2" t="n">
        <v>1043.44262295082</v>
      </c>
      <c r="G81" s="2" t="n">
        <v>1199.959016393442</v>
      </c>
      <c r="H81" t="inlineStr">
        <is>
          <t>25/25 ≈1/1 2020-21 Panini National Treasures Luka Doncic Bronze Auto PSA 9 POP 2</t>
        </is>
      </c>
      <c r="I81" s="2" t="n">
        <v>2563.66</v>
      </c>
      <c r="J81" s="7" t="n">
        <v>7.5</v>
      </c>
      <c r="K81" s="4" t="n"/>
      <c r="L81" s="2">
        <f>IF(K81&lt;&gt;"",K81,I81)</f>
        <v/>
      </c>
      <c r="M81" s="2">
        <f>G81-L81</f>
        <v/>
      </c>
      <c r="N81" s="5">
        <f>IF(L81&gt;0,M81/L81,"")</f>
        <v/>
      </c>
    </row>
    <row r="82">
      <c r="A82" t="n">
        <v>81</v>
      </c>
      <c r="B82" t="inlineStr">
        <is>
          <t>Luka Doncic</t>
        </is>
      </c>
      <c r="C82" t="inlineStr">
        <is>
          <t>2021-22 Panini Flawless Draft Gem Signatures Ruby #DGS-LDD Luka Doncic Signed Card (#02/15) - Panini Encased</t>
        </is>
      </c>
      <c r="D82" t="inlineStr">
        <is>
          <t>2026 April Elite Auction</t>
        </is>
      </c>
      <c r="E82" s="2" t="n">
        <v>1322</v>
      </c>
      <c r="F82" s="2" t="n">
        <v>1083.606557377049</v>
      </c>
      <c r="G82" s="2" t="n">
        <v>1246.147540983607</v>
      </c>
      <c r="H82" t="inlineStr">
        <is>
          <t>2021-22 Panini Flawless Luka Doncic #DGS-LDD Ruby Draft Gem Signatures Auto /15</t>
        </is>
      </c>
      <c r="I82" s="2" t="n">
        <v>1541.63</v>
      </c>
      <c r="J82" s="3" t="n">
        <v>12.5</v>
      </c>
      <c r="K82" s="4" t="n"/>
      <c r="L82" s="2">
        <f>IF(K82&lt;&gt;"",K82,I82)</f>
        <v/>
      </c>
      <c r="M82" s="2">
        <f>G82-L82</f>
        <v/>
      </c>
      <c r="N82" s="5">
        <f>IF(L82&gt;0,M82/L82,"")</f>
        <v/>
      </c>
    </row>
    <row r="83">
      <c r="A83" t="n">
        <v>82</v>
      </c>
      <c r="B83" t="inlineStr">
        <is>
          <t>Luka Doncic</t>
        </is>
      </c>
      <c r="C83" t="inlineStr">
        <is>
          <t>2021-22 Panini Prizm Sensational Signatures Mojo Prizm #SS-LDC Luka Doncic Signed Card (#11/25) - Panini Encased</t>
        </is>
      </c>
      <c r="D83" t="inlineStr">
        <is>
          <t>2026 Weekly Auction Mar 24 - Apr 2</t>
        </is>
      </c>
      <c r="E83" s="2" t="n">
        <v>1000</v>
      </c>
      <c r="F83" s="2" t="n">
        <v>819.672131147541</v>
      </c>
      <c r="G83" s="2" t="n">
        <v>942.622950819672</v>
      </c>
      <c r="H83" t="inlineStr">
        <is>
          <t>2021-22 Panini Prizm Sensational Signatures Luka Doncic MOJO Auto /25</t>
        </is>
      </c>
      <c r="I83" s="2" t="n">
        <v>1012.81</v>
      </c>
      <c r="J83" s="3" t="n">
        <v>8</v>
      </c>
      <c r="K83" s="4" t="n"/>
      <c r="L83" s="2">
        <f>IF(K83&lt;&gt;"",K83,I83)</f>
        <v/>
      </c>
      <c r="M83" s="2">
        <f>G83-L83</f>
        <v/>
      </c>
      <c r="N83" s="5">
        <f>IF(L83&gt;0,M83/L83,"")</f>
        <v/>
      </c>
    </row>
    <row r="84">
      <c r="A84" t="n">
        <v>83</v>
      </c>
      <c r="B84" t="inlineStr">
        <is>
          <t>Luka Doncic</t>
        </is>
      </c>
      <c r="C84" t="inlineStr">
        <is>
          <t>2022-23 Panini Immaculate Collection Scorers Club Signatures #SCS-LUD Luka Doncic Signed Card (#23/25) - PSA MINT 9</t>
        </is>
      </c>
      <c r="D84" t="inlineStr">
        <is>
          <t>2026 Weekly Auction Mar 24 - Apr 2</t>
        </is>
      </c>
      <c r="E84" s="2" t="n">
        <v>1211</v>
      </c>
      <c r="F84" s="2" t="n">
        <v>992.6229508196722</v>
      </c>
      <c r="G84" s="2" t="n">
        <v>1141.516393442623</v>
      </c>
      <c r="H84" t="inlineStr">
        <is>
          <t>2022-23 Panini Noir Luka Doncic Auto 17/25</t>
        </is>
      </c>
      <c r="I84" s="2" t="n">
        <v>1704.76</v>
      </c>
      <c r="J84" s="7" t="n">
        <v>5</v>
      </c>
      <c r="K84" s="4" t="n"/>
      <c r="L84" s="2">
        <f>IF(K84&lt;&gt;"",K84,I84)</f>
        <v/>
      </c>
      <c r="M84" s="2">
        <f>G84-L84</f>
        <v/>
      </c>
      <c r="N84" s="5">
        <f>IF(L84&gt;0,M84/L84,"")</f>
        <v/>
      </c>
    </row>
    <row r="85">
      <c r="A85" t="n">
        <v>84</v>
      </c>
      <c r="B85" t="inlineStr">
        <is>
          <t>Luka Doncic</t>
        </is>
      </c>
      <c r="C85" t="inlineStr">
        <is>
          <t>2022-23 Panini Noir Autographed Prime Black and White #ANB-LUD Luka Doncic Signed Card (#17/25) - Panini Encased</t>
        </is>
      </c>
      <c r="D85" t="inlineStr">
        <is>
          <t>2026 April Elite Auction</t>
        </is>
      </c>
      <c r="E85" s="2" t="n">
        <v>1000</v>
      </c>
      <c r="F85" s="2" t="n">
        <v>819.672131147541</v>
      </c>
      <c r="G85" s="2" t="n">
        <v>942.622950819672</v>
      </c>
      <c r="H85" t="inlineStr">
        <is>
          <t>2022-23 Panini Noir Luka Doncic Auto 17/25</t>
        </is>
      </c>
      <c r="I85" s="2" t="n">
        <v>1704.76</v>
      </c>
      <c r="J85" s="7" t="n">
        <v>7.5</v>
      </c>
      <c r="K85" s="4" t="n"/>
      <c r="L85" s="2">
        <f>IF(K85&lt;&gt;"",K85,I85)</f>
        <v/>
      </c>
      <c r="M85" s="2">
        <f>G85-L85</f>
        <v/>
      </c>
      <c r="N85" s="5">
        <f>IF(L85&gt;0,M85/L85,"")</f>
        <v/>
      </c>
    </row>
    <row r="86">
      <c r="A86" t="n">
        <v>85</v>
      </c>
      <c r="B86" t="inlineStr">
        <is>
          <t>Luka Doncic</t>
        </is>
      </c>
      <c r="C86" t="inlineStr">
        <is>
          <t>2023-24 Panini Contenders Optic 1986 Tribute Autographs International Jade #86-LKD Luka Doncic Signed Card (#3/5) - Panini Encased</t>
        </is>
      </c>
      <c r="D86" t="inlineStr">
        <is>
          <t>2026 April Elite Auction</t>
        </is>
      </c>
      <c r="E86" s="2" t="n">
        <v>1299</v>
      </c>
      <c r="F86" s="2" t="n">
        <v>1064.754098360656</v>
      </c>
      <c r="G86" s="2" t="n">
        <v>1224.467213114754</v>
      </c>
      <c r="H86" t="inlineStr">
        <is>
          <t>2023-24 Contenders Optic Luka Doncic Green Cracked Ice 1986 Tribute Auto /5</t>
        </is>
      </c>
      <c r="I86" s="2" t="n">
        <v>1742.49</v>
      </c>
      <c r="J86" s="7" t="n">
        <v>7.5</v>
      </c>
      <c r="K86" s="4" t="n"/>
      <c r="L86" s="2">
        <f>IF(K86&lt;&gt;"",K86,I86)</f>
        <v/>
      </c>
      <c r="M86" s="2">
        <f>G86-L86</f>
        <v/>
      </c>
      <c r="N86" s="5">
        <f>IF(L86&gt;0,M86/L86,"")</f>
        <v/>
      </c>
    </row>
    <row r="87">
      <c r="A87" t="n">
        <v>86</v>
      </c>
      <c r="B87" t="inlineStr">
        <is>
          <t>Luka Doncic</t>
        </is>
      </c>
      <c r="C87" t="inlineStr">
        <is>
          <t>2023-24 Panini Select Courtside Gold Prizm #251 Luka Doncic (#08/10) - PSA MINT 9</t>
        </is>
      </c>
      <c r="D87" t="inlineStr">
        <is>
          <t>2026 Weekly Auction Mar 24 - Apr 2</t>
        </is>
      </c>
      <c r="E87" s="2" t="n">
        <v>600</v>
      </c>
      <c r="F87" s="2" t="n">
        <v>491.8032786885246</v>
      </c>
      <c r="G87" s="2" t="n">
        <v>565.5737704918032</v>
      </c>
      <c r="H87" t="inlineStr">
        <is>
          <t>2023 Select Luka Doncic COURTSIDE Gold Prizm #251 PSA 9 LOW POP 2 RARE GOLD</t>
        </is>
      </c>
      <c r="I87" s="2" t="n">
        <v>804.65</v>
      </c>
      <c r="J87" s="3" t="n">
        <v>8.5</v>
      </c>
      <c r="K87" s="4" t="n"/>
      <c r="L87" s="2">
        <f>IF(K87&lt;&gt;"",K87,I87)</f>
        <v/>
      </c>
      <c r="M87" s="2">
        <f>G87-L87</f>
        <v/>
      </c>
      <c r="N87" s="5">
        <f>IF(L87&gt;0,M87/L87,"")</f>
        <v/>
      </c>
    </row>
    <row r="88">
      <c r="A88" t="n">
        <v>87</v>
      </c>
      <c r="B88" t="inlineStr">
        <is>
          <t>Luka Doncic</t>
        </is>
      </c>
      <c r="C88" t="inlineStr">
        <is>
          <t>2024-25 Panini Flawless All-Star Ink Gold #ANB-LUD Luka Doncic Signed Card (#04/10) - Panini Encased</t>
        </is>
      </c>
      <c r="D88" t="inlineStr">
        <is>
          <t>2026 April Elite Auction</t>
        </is>
      </c>
      <c r="E88" s="2" t="n">
        <v>1600</v>
      </c>
      <c r="F88" s="2" t="n">
        <v>1311.475409836066</v>
      </c>
      <c r="G88" s="2" t="n">
        <v>1508.196721311475</v>
      </c>
      <c r="H88" t="inlineStr">
        <is>
          <t>2024-25 Panini Flawless Luka Doncic All-NBA Ink Signatures Auto Gold /10</t>
        </is>
      </c>
      <c r="I88" s="2" t="n">
        <v>2845.99</v>
      </c>
      <c r="J88" s="7" t="n">
        <v>7.5</v>
      </c>
      <c r="K88" s="4" t="n"/>
      <c r="L88" s="2">
        <f>IF(K88&lt;&gt;"",K88,I88)</f>
        <v/>
      </c>
      <c r="M88" s="2">
        <f>G88-L88</f>
        <v/>
      </c>
      <c r="N88" s="5">
        <f>IF(L88&gt;0,M88/L88,"")</f>
        <v/>
      </c>
    </row>
    <row r="89">
      <c r="A89" t="n">
        <v>88</v>
      </c>
      <c r="B89" t="inlineStr">
        <is>
          <t>Magic Johnson</t>
        </is>
      </c>
      <c r="C89" t="inlineStr">
        <is>
          <t>2013-14 Upper Deck All-Time Greats Signatures #ATG-J02 Magic Johnson Signed Card (#16/50) - BGS GEM MINT 9.5</t>
        </is>
      </c>
      <c r="D89" t="inlineStr">
        <is>
          <t>2026 Weekly Auction Mar 24 - Apr 2</t>
        </is>
      </c>
      <c r="E89" s="2" t="n">
        <v>205</v>
      </c>
      <c r="F89" s="2" t="n">
        <v>168.0327868852459</v>
      </c>
      <c r="G89" s="2" t="n">
        <v>193.2377049180328</v>
      </c>
      <c r="H89" t="inlineStr">
        <is>
          <t>Magic Johnson - 2013 Upper Deck All Time Greats Signatures 16/50 BGS 9.5/10 Auto</t>
        </is>
      </c>
      <c r="I89" s="2" t="n">
        <v>483.4</v>
      </c>
      <c r="J89" s="6" t="n">
        <v>4.5</v>
      </c>
      <c r="K89" s="4" t="n"/>
      <c r="L89" s="2">
        <f>IF(K89&lt;&gt;"",K89,I89)</f>
        <v/>
      </c>
      <c r="M89" s="2">
        <f>G89-L89</f>
        <v/>
      </c>
      <c r="N89" s="5">
        <f>IF(L89&gt;0,M89/L89,"")</f>
        <v/>
      </c>
    </row>
    <row r="90">
      <c r="A90" t="n">
        <v>89</v>
      </c>
      <c r="B90" t="inlineStr">
        <is>
          <t>Magic Johnson</t>
        </is>
      </c>
      <c r="C90" t="inlineStr">
        <is>
          <t>2021-22 Panini Eminence Autographs Gold #21 Magic Johnson Signed Card (#2/5) - Panini Encased</t>
        </is>
      </c>
      <c r="D90" t="inlineStr">
        <is>
          <t>2026 Weekly Auction Apr 21 - Apr 30</t>
        </is>
      </c>
      <c r="E90" s="2" t="n">
        <v>253</v>
      </c>
      <c r="F90" s="2" t="n">
        <v>207.3770491803279</v>
      </c>
      <c r="G90" s="2" t="n">
        <v>238.483606557377</v>
      </c>
      <c r="H90" t="inlineStr">
        <is>
          <t>2021-22 Panini Eminence Magic Johnson #21 Auto Gold /5</t>
        </is>
      </c>
      <c r="I90" s="2" t="n">
        <v>442.99</v>
      </c>
      <c r="J90" s="3" t="n">
        <v>13</v>
      </c>
      <c r="K90" s="4" t="n"/>
      <c r="L90" s="2">
        <f>IF(K90&lt;&gt;"",K90,I90)</f>
        <v/>
      </c>
      <c r="M90" s="2">
        <f>G90-L90</f>
        <v/>
      </c>
      <c r="N90" s="5">
        <f>IF(L90&gt;0,M90/L90,"")</f>
        <v/>
      </c>
    </row>
    <row r="91">
      <c r="A91" t="n">
        <v>90</v>
      </c>
      <c r="B91" t="inlineStr">
        <is>
          <t>Michael Jordan</t>
        </is>
      </c>
      <c r="C91" t="inlineStr">
        <is>
          <t>1986 Star #6 Michael Jordan - BGS NM-MT 8</t>
        </is>
      </c>
      <c r="D91" t="inlineStr">
        <is>
          <t>2026 Weekly Auction Apr 28 - May 7</t>
        </is>
      </c>
      <c r="E91" s="2" t="n">
        <v>1966</v>
      </c>
      <c r="F91" s="2" t="n">
        <v>1611.475409836066</v>
      </c>
      <c r="G91" s="2" t="n">
        <v>1853.196721311475</v>
      </c>
      <c r="H91" t="inlineStr">
        <is>
          <t>Michael Jordan 1986 Star #7 Career Highlights RC Hall of Fame HOF GOAT BGS 8.5</t>
        </is>
      </c>
      <c r="I91" s="2" t="n">
        <v>1530.26</v>
      </c>
      <c r="J91" s="7" t="n">
        <v>5.5</v>
      </c>
      <c r="K91" s="4" t="n"/>
      <c r="L91" s="2">
        <f>IF(K91&lt;&gt;"",K91,I91)</f>
        <v/>
      </c>
      <c r="M91" s="2">
        <f>G91-L91</f>
        <v/>
      </c>
      <c r="N91" s="5">
        <f>IF(L91&gt;0,M91/L91,"")</f>
        <v/>
      </c>
    </row>
    <row r="92">
      <c r="A92" t="n">
        <v>91</v>
      </c>
      <c r="B92" t="inlineStr">
        <is>
          <t>Michael Jordan</t>
        </is>
      </c>
      <c r="C92" t="inlineStr">
        <is>
          <t>1986 Star Michael Jordan #7 Michael Jordan - BGS NM-MT+ 8.5</t>
        </is>
      </c>
      <c r="D92" t="inlineStr">
        <is>
          <t>2026 April Elite Auction</t>
        </is>
      </c>
      <c r="E92" s="2" t="n">
        <v>2013</v>
      </c>
      <c r="F92" s="2" t="n">
        <v>1650</v>
      </c>
      <c r="G92" s="2" t="n">
        <v>1897.5</v>
      </c>
      <c r="H92" t="inlineStr">
        <is>
          <t>Michael Jordan 1986 Star #7 Career Highlights RC Hall of Fame HOF GOAT BGS 8.5</t>
        </is>
      </c>
      <c r="I92" s="2" t="n">
        <v>1530.26</v>
      </c>
      <c r="J92" s="7" t="n">
        <v>5.5</v>
      </c>
      <c r="K92" s="4" t="n"/>
      <c r="L92" s="2">
        <f>IF(K92&lt;&gt;"",K92,I92)</f>
        <v/>
      </c>
      <c r="M92" s="2">
        <f>G92-L92</f>
        <v/>
      </c>
      <c r="N92" s="5">
        <f>IF(L92&gt;0,M92/L92,"")</f>
        <v/>
      </c>
    </row>
    <row r="93">
      <c r="A93" t="n">
        <v>92</v>
      </c>
      <c r="B93" t="inlineStr">
        <is>
          <t>Michael Jordan</t>
        </is>
      </c>
      <c r="C93" t="inlineStr">
        <is>
          <t>1986-87 Fleer #57 Michael Jordan Rookie Card - PSA NM-MT 8 (OC)</t>
        </is>
      </c>
      <c r="D93" t="inlineStr">
        <is>
          <t>2026 April Elite Auction</t>
        </is>
      </c>
      <c r="E93" s="2" t="n">
        <v>6500</v>
      </c>
      <c r="F93" s="2" t="n">
        <v>5327.868852459016</v>
      </c>
      <c r="G93" s="2" t="n">
        <v>6127.049180327868</v>
      </c>
      <c r="H93" t="inlineStr">
        <is>
          <t>1986-87 Fleer - Michael Jordan 🐐 #57 (RC) PSA 8 !!! ROOKIE - GORGEOUS !!!</t>
        </is>
      </c>
      <c r="I93" s="2" t="n">
        <v>8504.52</v>
      </c>
      <c r="J93" s="3" t="n">
        <v>11</v>
      </c>
      <c r="K93" s="4" t="n"/>
      <c r="L93" s="2">
        <f>IF(K93&lt;&gt;"",K93,I93)</f>
        <v/>
      </c>
      <c r="M93" s="2">
        <f>G93-L93</f>
        <v/>
      </c>
      <c r="N93" s="5">
        <f>IF(L93&gt;0,M93/L93,"")</f>
        <v/>
      </c>
    </row>
    <row r="94">
      <c r="A94" t="n">
        <v>93</v>
      </c>
      <c r="B94" t="inlineStr">
        <is>
          <t>Michael Jordan</t>
        </is>
      </c>
      <c r="C94" t="inlineStr">
        <is>
          <t>1993-94 Topps Finest #1 Michael Jordan - PSA GEM MT 10</t>
        </is>
      </c>
      <c r="D94" t="inlineStr">
        <is>
          <t>2026 Weekly Auction Mar 31 - Apr 9</t>
        </is>
      </c>
      <c r="E94" s="2" t="n">
        <v>1276</v>
      </c>
      <c r="F94" s="2" t="n">
        <v>1045.901639344262</v>
      </c>
      <c r="G94" s="2" t="n">
        <v>1202.786885245902</v>
      </c>
      <c r="H94" t="inlineStr">
        <is>
          <t>MICHAEL JORDAN PSA 10 1993-94 TOPPS FINEST BASEBALL #1 BULLS 447</t>
        </is>
      </c>
      <c r="I94" s="2" t="n">
        <v>1400</v>
      </c>
      <c r="J94" s="7" t="n">
        <v>5.5</v>
      </c>
      <c r="K94" s="4" t="n"/>
      <c r="L94" s="2">
        <f>IF(K94&lt;&gt;"",K94,I94)</f>
        <v/>
      </c>
      <c r="M94" s="2">
        <f>G94-L94</f>
        <v/>
      </c>
      <c r="N94" s="5">
        <f>IF(L94&gt;0,M94/L94,"")</f>
        <v/>
      </c>
    </row>
    <row r="95">
      <c r="A95" t="n">
        <v>94</v>
      </c>
      <c r="B95" t="inlineStr">
        <is>
          <t>Michael Jordan</t>
        </is>
      </c>
      <c r="C95" t="inlineStr">
        <is>
          <t>1995-96 Upper Deck SP Holoviews #PC5 Michael Jordan - PSA MINT 9</t>
        </is>
      </c>
      <c r="D95" t="inlineStr">
        <is>
          <t>2026 April Elite Auction</t>
        </is>
      </c>
      <c r="E95" s="2" t="n">
        <v>425</v>
      </c>
      <c r="F95" s="2" t="n">
        <v>348.3606557377049</v>
      </c>
      <c r="G95" s="2" t="n">
        <v>400.6147540983606</v>
      </c>
      <c r="H95" t="inlineStr">
        <is>
          <t>1995 96 SP Holoviews #pc5 Michael Jordan Upper Deck. Chicago Bulls</t>
        </is>
      </c>
      <c r="I95" s="2" t="n">
        <v>274</v>
      </c>
      <c r="J95" s="7" t="n">
        <v>7.5</v>
      </c>
      <c r="K95" s="4" t="n"/>
      <c r="L95" s="2">
        <f>IF(K95&lt;&gt;"",K95,I95)</f>
        <v/>
      </c>
      <c r="M95" s="2">
        <f>G95-L95</f>
        <v/>
      </c>
      <c r="N95" s="5">
        <f>IF(L95&gt;0,M95/L95,"")</f>
        <v/>
      </c>
    </row>
    <row r="96">
      <c r="A96" t="n">
        <v>95</v>
      </c>
      <c r="B96" t="inlineStr">
        <is>
          <t>Michael Jordan</t>
        </is>
      </c>
      <c r="C96" t="inlineStr">
        <is>
          <t>1996-97 Topps NBA Stars #24 Michael Jordan - PSA GEM MT 10</t>
        </is>
      </c>
      <c r="D96" t="inlineStr">
        <is>
          <t>2026 Weekly Auction Mar 31 - Apr 9</t>
        </is>
      </c>
      <c r="E96" s="2" t="n">
        <v>378</v>
      </c>
      <c r="F96" s="2" t="n">
        <v>309.8360655737705</v>
      </c>
      <c r="G96" s="2" t="n">
        <v>356.311475409836</v>
      </c>
      <c r="H96" t="inlineStr">
        <is>
          <t>1996 Topps Stars Michael Jordan Finest Refractor #124 PSA 10</t>
        </is>
      </c>
      <c r="I96" s="2" t="n">
        <v>3065</v>
      </c>
      <c r="J96" s="7" t="n">
        <v>7.5</v>
      </c>
      <c r="K96" s="4" t="n"/>
      <c r="L96" s="2">
        <f>IF(K96&lt;&gt;"",K96,I96)</f>
        <v/>
      </c>
      <c r="M96" s="2">
        <f>G96-L96</f>
        <v/>
      </c>
      <c r="N96" s="5">
        <f>IF(L96&gt;0,M96/L96,"")</f>
        <v/>
      </c>
    </row>
    <row r="97">
      <c r="A97" t="n">
        <v>96</v>
      </c>
      <c r="B97" t="inlineStr">
        <is>
          <t>Michael Jordan</t>
        </is>
      </c>
      <c r="C97" t="inlineStr">
        <is>
          <t>1996-97 Topps NBA Stars Finest #124 Michael Jordan - PSA GEM MT 10</t>
        </is>
      </c>
      <c r="D97" t="inlineStr">
        <is>
          <t>2026 April Elite Auction</t>
        </is>
      </c>
      <c r="E97" s="2" t="n">
        <v>700</v>
      </c>
      <c r="F97" s="2" t="n">
        <v>573.7704918032787</v>
      </c>
      <c r="G97" s="2" t="n">
        <v>659.8360655737704</v>
      </c>
      <c r="H97" t="inlineStr">
        <is>
          <t>1996 Topps Stars Michael Jordan Finest Refractor #124 PSA 10</t>
        </is>
      </c>
      <c r="I97" s="2" t="n">
        <v>3065</v>
      </c>
      <c r="J97" s="7" t="n">
        <v>7.5</v>
      </c>
      <c r="K97" s="4" t="n"/>
      <c r="L97" s="2">
        <f>IF(K97&lt;&gt;"",K97,I97)</f>
        <v/>
      </c>
      <c r="M97" s="2">
        <f>G97-L97</f>
        <v/>
      </c>
      <c r="N97" s="5">
        <f>IF(L97&gt;0,M97/L97,"")</f>
        <v/>
      </c>
    </row>
    <row r="98">
      <c r="A98" t="n">
        <v>97</v>
      </c>
      <c r="B98" t="inlineStr">
        <is>
          <t>Michael Jordan</t>
        </is>
      </c>
      <c r="C98" t="inlineStr">
        <is>
          <t>1996-97 Topps NBA Stars Finest Refractor #124 Michael Jordan - PSA GEM MT 10</t>
        </is>
      </c>
      <c r="D98" t="inlineStr">
        <is>
          <t>2026 Weekly Auction Mar 31 - Apr 9</t>
        </is>
      </c>
      <c r="E98" s="2" t="n">
        <v>2501</v>
      </c>
      <c r="F98" s="2" t="n">
        <v>2050</v>
      </c>
      <c r="G98" s="2" t="n">
        <v>2357.5</v>
      </c>
      <c r="H98" t="inlineStr">
        <is>
          <t>1996 Topps Stars Michael Jordan Finest Refractor #124 PSA 10</t>
        </is>
      </c>
      <c r="I98" s="2" t="n">
        <v>3065</v>
      </c>
      <c r="J98" s="3" t="n">
        <v>8</v>
      </c>
      <c r="K98" s="4" t="n"/>
      <c r="L98" s="2">
        <f>IF(K98&lt;&gt;"",K98,I98)</f>
        <v/>
      </c>
      <c r="M98" s="2">
        <f>G98-L98</f>
        <v/>
      </c>
      <c r="N98" s="5">
        <f>IF(L98&gt;0,M98/L98,"")</f>
        <v/>
      </c>
    </row>
    <row r="99">
      <c r="A99" t="n">
        <v>98</v>
      </c>
      <c r="B99" t="inlineStr">
        <is>
          <t>Michael Jordan</t>
        </is>
      </c>
      <c r="C99" t="inlineStr">
        <is>
          <t>1996-97 Topps Stadium Club Class Acts Refractor #CA1 Michael Jordan/Jerry Stackhouse - PSA MINT 9</t>
        </is>
      </c>
      <c r="D99" t="inlineStr">
        <is>
          <t>2026 Weekly Auction Mar 31 - Apr 9</t>
        </is>
      </c>
      <c r="E99" s="2" t="n">
        <v>507</v>
      </c>
      <c r="F99" s="2" t="n">
        <v>415.5737704918033</v>
      </c>
      <c r="G99" s="2" t="n">
        <v>477.9098360655738</v>
      </c>
      <c r="H99" t="inlineStr">
        <is>
          <t>1996 MICHAEL JORDAN Topps Stadium Club Class Act REFRACTOR #CA1 PSA 9 MINT</t>
        </is>
      </c>
      <c r="I99" s="2" t="n">
        <v>607.99</v>
      </c>
      <c r="J99" s="3" t="n">
        <v>8</v>
      </c>
      <c r="K99" s="4" t="n"/>
      <c r="L99" s="2">
        <f>IF(K99&lt;&gt;"",K99,I99)</f>
        <v/>
      </c>
      <c r="M99" s="2">
        <f>G99-L99</f>
        <v/>
      </c>
      <c r="N99" s="5">
        <f>IF(L99&gt;0,M99/L99,"")</f>
        <v/>
      </c>
    </row>
    <row r="100">
      <c r="A100" t="n">
        <v>99</v>
      </c>
      <c r="B100" t="inlineStr">
        <is>
          <t>Michael Jordan</t>
        </is>
      </c>
      <c r="C100" t="inlineStr">
        <is>
          <t>1997-98 Bowman's Best Atomic Refractors #60 Michael Jordan - BGS NM-MT+ 8.5</t>
        </is>
      </c>
      <c r="D100" t="inlineStr">
        <is>
          <t>2026 April Elite Auction</t>
        </is>
      </c>
      <c r="E100" s="2" t="n">
        <v>2211</v>
      </c>
      <c r="F100" s="2" t="n">
        <v>1812.295081967213</v>
      </c>
      <c r="G100" s="2" t="n">
        <v>2084.139344262295</v>
      </c>
      <c r="H100" t="inlineStr">
        <is>
          <t>MICHAEL JORDAN BGS 8.5 1997-98 BOWMAN'S BEST #60 ATOMIC REFRACTOR BULLS RARE SP</t>
        </is>
      </c>
      <c r="I100" s="2" t="n">
        <v>2255.5</v>
      </c>
      <c r="J100" s="3" t="n">
        <v>11.5</v>
      </c>
      <c r="K100" s="4" t="n"/>
      <c r="L100" s="2">
        <f>IF(K100&lt;&gt;"",K100,I100)</f>
        <v/>
      </c>
      <c r="M100" s="2">
        <f>G100-L100</f>
        <v/>
      </c>
      <c r="N100" s="5">
        <f>IF(L100&gt;0,M100/L100,"")</f>
        <v/>
      </c>
    </row>
    <row r="101">
      <c r="A101" t="n">
        <v>100</v>
      </c>
      <c r="B101" t="inlineStr">
        <is>
          <t>Michael Jordan</t>
        </is>
      </c>
      <c r="C101" t="inlineStr">
        <is>
          <t>1997-98 Bowman's Best Techniques Atomic Refractor #T2 Michael Jordan - PSA NM-MT 8</t>
        </is>
      </c>
      <c r="D101" t="inlineStr">
        <is>
          <t>2026 April Elite Auction</t>
        </is>
      </c>
      <c r="E101" s="2" t="n">
        <v>899</v>
      </c>
      <c r="F101" s="2" t="n">
        <v>736.8852459016393</v>
      </c>
      <c r="G101" s="2" t="n">
        <v>847.4180327868852</v>
      </c>
      <c r="H101" t="inlineStr">
        <is>
          <t>1997-98 Bowman's Best #T2 MICHAEL JORDAN Techniques Atomic Refractor PSA 9 MINT</t>
        </is>
      </c>
      <c r="I101" s="2" t="n">
        <v>1144.4</v>
      </c>
      <c r="J101" s="3" t="n">
        <v>11.5</v>
      </c>
      <c r="K101" s="4" t="n"/>
      <c r="L101" s="2">
        <f>IF(K101&lt;&gt;"",K101,I101)</f>
        <v/>
      </c>
      <c r="M101" s="2">
        <f>G101-L101</f>
        <v/>
      </c>
      <c r="N101" s="5">
        <f>IF(L101&gt;0,M101/L101,"")</f>
        <v/>
      </c>
    </row>
    <row r="102">
      <c r="A102" t="n">
        <v>101</v>
      </c>
      <c r="B102" t="inlineStr">
        <is>
          <t>Michael Jordan</t>
        </is>
      </c>
      <c r="C102" t="inlineStr">
        <is>
          <t>1997-98 SkyBox Hoops High Voltage #14 Michael Jordan - PSA MINT 9</t>
        </is>
      </c>
      <c r="D102" t="inlineStr">
        <is>
          <t>2026 April Elite Auction</t>
        </is>
      </c>
      <c r="E102" s="2" t="n">
        <v>3250</v>
      </c>
      <c r="F102" s="2" t="n">
        <v>2663.934426229508</v>
      </c>
      <c r="G102" s="2" t="n">
        <v>3063.524590163934</v>
      </c>
      <c r="H102" t="inlineStr">
        <is>
          <t>1997 Hoops MICHAEL JORDAN #14 High Voltage SSP PSA 9 Mint Only 18 Graded Higher!</t>
        </is>
      </c>
      <c r="I102" s="2" t="n">
        <v>3750</v>
      </c>
      <c r="J102" s="7" t="n">
        <v>7.5</v>
      </c>
      <c r="K102" s="4" t="n"/>
      <c r="L102" s="2">
        <f>IF(K102&lt;&gt;"",K102,I102)</f>
        <v/>
      </c>
      <c r="M102" s="2">
        <f>G102-L102</f>
        <v/>
      </c>
      <c r="N102" s="5">
        <f>IF(L102&gt;0,M102/L102,"")</f>
        <v/>
      </c>
    </row>
    <row r="103">
      <c r="A103" t="n">
        <v>102</v>
      </c>
      <c r="B103" t="inlineStr">
        <is>
          <t>Michael Jordan</t>
        </is>
      </c>
      <c r="C103" t="inlineStr">
        <is>
          <t>1997-98 Topps Stadium Club Triumvirate Luminous #T9B Michael Jordan - PSA NM-MT 8</t>
        </is>
      </c>
      <c r="D103" t="inlineStr">
        <is>
          <t>2026 April Elite Auction</t>
        </is>
      </c>
      <c r="E103" s="2" t="n">
        <v>1255</v>
      </c>
      <c r="F103" s="2" t="n">
        <v>1028.688524590164</v>
      </c>
      <c r="G103" s="2" t="n">
        <v>1182.991803278688</v>
      </c>
      <c r="H103" t="inlineStr">
        <is>
          <t>1997-98 Stadium Club Triumvirate - Michael Jordan #T9B BGS 9.5</t>
        </is>
      </c>
      <c r="I103" s="2" t="n">
        <v>6175</v>
      </c>
      <c r="J103" s="3" t="n">
        <v>8</v>
      </c>
      <c r="K103" s="4" t="n"/>
      <c r="L103" s="2">
        <f>IF(K103&lt;&gt;"",K103,I103)</f>
        <v/>
      </c>
      <c r="M103" s="2">
        <f>G103-L103</f>
        <v/>
      </c>
      <c r="N103" s="5">
        <f>IF(L103&gt;0,M103/L103,"")</f>
        <v/>
      </c>
    </row>
    <row r="104">
      <c r="A104" t="n">
        <v>103</v>
      </c>
      <c r="B104" t="inlineStr">
        <is>
          <t>Michael Jordan</t>
        </is>
      </c>
      <c r="C104" t="inlineStr">
        <is>
          <t>1998-99 Upper Deck Black Diamond Triple #11 Michael Jordan - PSA MINT 9</t>
        </is>
      </c>
      <c r="D104" t="inlineStr">
        <is>
          <t>2026 Weekly Auction Mar 31 - Apr 9</t>
        </is>
      </c>
      <c r="E104" s="2" t="n">
        <v>263</v>
      </c>
      <c r="F104" s="2" t="n">
        <v>215.5737704918033</v>
      </c>
      <c r="G104" s="2" t="n">
        <v>247.9098360655738</v>
      </c>
      <c r="H104" t="inlineStr">
        <is>
          <t>1998-99 Upper Deck Black Diamond Michael Jordan #11 Triple Diamond /1500 - PSA 9</t>
        </is>
      </c>
      <c r="I104" s="2" t="n">
        <v>288</v>
      </c>
      <c r="J104" s="3" t="n">
        <v>10.5</v>
      </c>
      <c r="K104" s="4" t="n"/>
      <c r="L104" s="2">
        <f>IF(K104&lt;&gt;"",K104,I104)</f>
        <v/>
      </c>
      <c r="M104" s="2">
        <f>G104-L104</f>
        <v/>
      </c>
      <c r="N104" s="5">
        <f>IF(L104&gt;0,M104/L104,"")</f>
        <v/>
      </c>
    </row>
    <row r="105">
      <c r="A105" t="n">
        <v>104</v>
      </c>
      <c r="B105" t="inlineStr">
        <is>
          <t>Michael Jordan</t>
        </is>
      </c>
      <c r="C105" t="inlineStr">
        <is>
          <t>1998-99 Upper Deck Ovation #7 Michael Jordan - PSA GEM MT 10</t>
        </is>
      </c>
      <c r="D105" t="inlineStr">
        <is>
          <t>2026 Weekly Auction Mar 31 - Apr 9</t>
        </is>
      </c>
      <c r="E105" s="2" t="n">
        <v>501</v>
      </c>
      <c r="F105" s="2" t="n">
        <v>410.6557377049181</v>
      </c>
      <c r="G105" s="2" t="n">
        <v>472.2540983606557</v>
      </c>
      <c r="H105" t="inlineStr">
        <is>
          <t>1998-99 Upper Deck Ovation - Michael Jordan #7 PSA 10</t>
        </is>
      </c>
      <c r="I105" s="2" t="n">
        <v>405.2</v>
      </c>
      <c r="J105" s="7" t="n">
        <v>5.5</v>
      </c>
      <c r="K105" s="4" t="n"/>
      <c r="L105" s="2">
        <f>IF(K105&lt;&gt;"",K105,I105)</f>
        <v/>
      </c>
      <c r="M105" s="2">
        <f>G105-L105</f>
        <v/>
      </c>
      <c r="N105" s="5">
        <f>IF(L105&gt;0,M105/L105,"")</f>
        <v/>
      </c>
    </row>
    <row r="106">
      <c r="A106" t="n">
        <v>105</v>
      </c>
      <c r="B106" t="inlineStr">
        <is>
          <t>Michael Jordan</t>
        </is>
      </c>
      <c r="C106" t="inlineStr">
        <is>
          <t>1999-00 Upper Deck HOLOGrFX Maximum Jordan #MJ2 Michael Jordan - PSA MINT 9</t>
        </is>
      </c>
      <c r="D106" t="inlineStr">
        <is>
          <t>2026 Weekly Auction Apr 7 - Apr 16</t>
        </is>
      </c>
      <c r="E106" s="2" t="n">
        <v>112</v>
      </c>
      <c r="F106" s="2" t="n">
        <v>91.80327868852459</v>
      </c>
      <c r="G106" s="2" t="n">
        <v>105.5737704918033</v>
      </c>
      <c r="H106" t="inlineStr">
        <is>
          <t>MICHAEL JORDAN 1999-00 UPPER DECK HOLOGRFX MAXIMUM JORDAN #MJ2 PSA 9</t>
        </is>
      </c>
      <c r="I106" s="2" t="n">
        <v>165</v>
      </c>
      <c r="J106" s="3" t="n">
        <v>11</v>
      </c>
      <c r="K106" s="4" t="n"/>
      <c r="L106" s="2">
        <f>IF(K106&lt;&gt;"",K106,I106)</f>
        <v/>
      </c>
      <c r="M106" s="2">
        <f>G106-L106</f>
        <v/>
      </c>
      <c r="N106" s="5">
        <f>IF(L106&gt;0,M106/L106,"")</f>
        <v/>
      </c>
    </row>
    <row r="107">
      <c r="A107" t="n">
        <v>106</v>
      </c>
      <c r="B107" t="inlineStr">
        <is>
          <t>Michael Jordan</t>
        </is>
      </c>
      <c r="C107" t="inlineStr">
        <is>
          <t>2001-02 Topps Chrome Fast &amp; Furious Refractor #FF05 Michael Jordan - PSA MINT 9</t>
        </is>
      </c>
      <c r="D107" t="inlineStr">
        <is>
          <t>2026 Weekly Auction Mar 31 - Apr 9</t>
        </is>
      </c>
      <c r="E107" s="2" t="n">
        <v>355</v>
      </c>
      <c r="F107" s="2" t="n">
        <v>290.9836065573771</v>
      </c>
      <c r="G107" s="2" t="n">
        <v>334.6311475409836</v>
      </c>
      <c r="H107" t="inlineStr">
        <is>
          <t>2001-02 Topps Chrome #FF05 Michael Jordan Fast and Furious Refractor PSA 9</t>
        </is>
      </c>
      <c r="I107" s="2" t="n">
        <v>420.44</v>
      </c>
      <c r="J107" s="3" t="n">
        <v>11</v>
      </c>
      <c r="K107" s="4" t="n"/>
      <c r="L107" s="2">
        <f>IF(K107&lt;&gt;"",K107,I107)</f>
        <v/>
      </c>
      <c r="M107" s="2">
        <f>G107-L107</f>
        <v/>
      </c>
      <c r="N107" s="5">
        <f>IF(L107&gt;0,M107/L107,"")</f>
        <v/>
      </c>
    </row>
    <row r="108">
      <c r="A108" t="n">
        <v>107</v>
      </c>
      <c r="B108" t="inlineStr">
        <is>
          <t>Michael Jordan</t>
        </is>
      </c>
      <c r="C108" t="inlineStr">
        <is>
          <t>2001-02 Topps Chrome Refractor #95 Michael Jordan - PSA MINT 9</t>
        </is>
      </c>
      <c r="D108" t="inlineStr">
        <is>
          <t>2026 April Elite Auction</t>
        </is>
      </c>
      <c r="E108" s="2" t="n">
        <v>826</v>
      </c>
      <c r="F108" s="2" t="n">
        <v>677.0491803278688</v>
      </c>
      <c r="G108" s="2" t="n">
        <v>778.6065573770491</v>
      </c>
      <c r="H108" t="inlineStr">
        <is>
          <t>2001-02 Topps Chrome Michael Jordan Refractor #95 Wizards PSA 9</t>
        </is>
      </c>
      <c r="I108" s="2" t="n">
        <v>859.99</v>
      </c>
      <c r="J108" s="3" t="n">
        <v>11</v>
      </c>
      <c r="K108" s="4" t="n"/>
      <c r="L108" s="2">
        <f>IF(K108&lt;&gt;"",K108,I108)</f>
        <v/>
      </c>
      <c r="M108" s="2">
        <f>G108-L108</f>
        <v/>
      </c>
      <c r="N108" s="5">
        <f>IF(L108&gt;0,M108/L108,"")</f>
        <v/>
      </c>
    </row>
    <row r="109">
      <c r="A109" t="n">
        <v>108</v>
      </c>
      <c r="B109" t="inlineStr">
        <is>
          <t>Michael Jordan</t>
        </is>
      </c>
      <c r="C109" t="inlineStr">
        <is>
          <t>2001-02 Topps Pristine Refractor #6 Michael Jordan (#21/50) - PSA GEM MT 10</t>
        </is>
      </c>
      <c r="D109" t="inlineStr">
        <is>
          <t>2026 Weekly Auction Mar 31 - Apr 9</t>
        </is>
      </c>
      <c r="E109" s="2" t="n">
        <v>6001</v>
      </c>
      <c r="F109" s="2" t="n">
        <v>4918.852459016393</v>
      </c>
      <c r="G109" s="2" t="n">
        <v>5656.680327868852</v>
      </c>
      <c r="H109" t="inlineStr">
        <is>
          <t>2001 Topps Pristine Michael Jordan Refractor 21/50 Rare!  Psa 10</t>
        </is>
      </c>
      <c r="I109" s="2" t="n">
        <v>8425</v>
      </c>
      <c r="J109" s="3" t="n">
        <v>10</v>
      </c>
      <c r="K109" s="4" t="n"/>
      <c r="L109" s="2">
        <f>IF(K109&lt;&gt;"",K109,I109)</f>
        <v/>
      </c>
      <c r="M109" s="2">
        <f>G109-L109</f>
        <v/>
      </c>
      <c r="N109" s="5">
        <f>IF(L109&gt;0,M109/L109,"")</f>
        <v/>
      </c>
    </row>
    <row r="110">
      <c r="A110" t="n">
        <v>109</v>
      </c>
      <c r="B110" t="inlineStr">
        <is>
          <t>Michael Jordan</t>
        </is>
      </c>
      <c r="C110" t="inlineStr">
        <is>
          <t>2002-03 Topps Finest Refractor #100 Michael Jordan (#143/250) - PSA NM-MT 8</t>
        </is>
      </c>
      <c r="D110" t="inlineStr">
        <is>
          <t>2026 Weekly Auction Mar 31 - Apr 9</t>
        </is>
      </c>
      <c r="E110" s="2" t="n">
        <v>1325</v>
      </c>
      <c r="F110" s="2" t="n">
        <v>1086.065573770492</v>
      </c>
      <c r="G110" s="2" t="n">
        <v>1248.975409836066</v>
      </c>
      <c r="H110" t="inlineStr">
        <is>
          <t>2002-03 Topps Chrome Michael Jordan Coast to Coast Refractor BGS 9.5 Gem Mint</t>
        </is>
      </c>
      <c r="I110" s="2" t="n">
        <v>980.77</v>
      </c>
      <c r="J110" s="7" t="n">
        <v>5.5</v>
      </c>
      <c r="K110" s="4" t="n"/>
      <c r="L110" s="2">
        <f>IF(K110&lt;&gt;"",K110,I110)</f>
        <v/>
      </c>
      <c r="M110" s="2">
        <f>G110-L110</f>
        <v/>
      </c>
      <c r="N110" s="5">
        <f>IF(L110&gt;0,M110/L110,"")</f>
        <v/>
      </c>
    </row>
    <row r="111">
      <c r="A111" t="n">
        <v>110</v>
      </c>
      <c r="B111" t="inlineStr">
        <is>
          <t>Michael Jordan</t>
        </is>
      </c>
      <c r="C111" t="inlineStr">
        <is>
          <t>2006-07 Upper Deck Hardcourt #13 Michael Jordan - PSA GEM MT 10</t>
        </is>
      </c>
      <c r="D111" t="inlineStr">
        <is>
          <t>2026 Weekly Auction Mar 3 - Mar 12</t>
        </is>
      </c>
      <c r="E111" s="2" t="n">
        <v>280</v>
      </c>
      <c r="F111" s="2" t="n">
        <v>229.5081967213115</v>
      </c>
      <c r="G111" s="2" t="n">
        <v>263.9344262295082</v>
      </c>
      <c r="H111" t="inlineStr">
        <is>
          <t>2006 UPPER DECK HARDCORE MICHAEL JORDAN #13 PSA 10 GEM-MINT LOW POP!!!</t>
        </is>
      </c>
      <c r="I111" s="2" t="n">
        <v>197.06</v>
      </c>
      <c r="J111" s="7" t="n">
        <v>7.5</v>
      </c>
      <c r="K111" s="4" t="n"/>
      <c r="L111" s="2">
        <f>IF(K111&lt;&gt;"",K111,I111)</f>
        <v/>
      </c>
      <c r="M111" s="2">
        <f>G111-L111</f>
        <v/>
      </c>
      <c r="N111" s="5">
        <f>IF(L111&gt;0,M111/L111,"")</f>
        <v/>
      </c>
    </row>
    <row r="112">
      <c r="A112" t="n">
        <v>111</v>
      </c>
      <c r="B112" t="inlineStr">
        <is>
          <t>Michael Jordan</t>
        </is>
      </c>
      <c r="C112" t="inlineStr">
        <is>
          <t>2008 Upper Deck SP Rookie Threads SP Dual Threads #TD-BJ Kobe Bryant/Michael Jordan Relic Card - BGS NM-MT+ 8.5</t>
        </is>
      </c>
      <c r="D112" t="inlineStr">
        <is>
          <t>2026 Weekly Auction Mar 24 - Apr 2</t>
        </is>
      </c>
      <c r="E112" s="2" t="n">
        <v>1601</v>
      </c>
      <c r="F112" s="2" t="n">
        <v>1312.295081967213</v>
      </c>
      <c r="G112" s="2" t="n">
        <v>1509.139344262295</v>
      </c>
      <c r="H112" t="inlineStr">
        <is>
          <t>2008 Sp Rookie Patch Michael Jordan/Kobe Bryant Dual Game Used BGS 8.5</t>
        </is>
      </c>
      <c r="I112" s="2" t="n">
        <v>2080.24</v>
      </c>
      <c r="J112" s="6" t="n">
        <v>4</v>
      </c>
      <c r="K112" s="4" t="n"/>
      <c r="L112" s="2">
        <f>IF(K112&lt;&gt;"",K112,I112)</f>
        <v/>
      </c>
      <c r="M112" s="2">
        <f>G112-L112</f>
        <v/>
      </c>
      <c r="N112" s="5">
        <f>IF(L112&gt;0,M112/L112,"")</f>
        <v/>
      </c>
    </row>
    <row r="113">
      <c r="A113" t="n">
        <v>112</v>
      </c>
      <c r="B113" t="inlineStr">
        <is>
          <t>Michael Jordan</t>
        </is>
      </c>
      <c r="C113" t="inlineStr">
        <is>
          <t>2013 Upper Deck All-Time Greats Base Autographs #73 Michael Jordan Signed Card (#1/1) - BGS MINT 9</t>
        </is>
      </c>
      <c r="D113" t="inlineStr">
        <is>
          <t>2026 April Elite Auction</t>
        </is>
      </c>
      <c r="E113" s="2" t="n">
        <v>18350</v>
      </c>
      <c r="F113" s="2" t="n">
        <v>15040.98360655738</v>
      </c>
      <c r="G113" s="2" t="n">
        <v>17297.13114754098</v>
      </c>
      <c r="H113" t="inlineStr">
        <is>
          <t>2013 UD All Time Greats Michael Jordan #73 Auto 1/1!! BGS 9</t>
        </is>
      </c>
      <c r="I113" s="2" t="n">
        <v>10000</v>
      </c>
      <c r="J113" s="3" t="n">
        <v>11.5</v>
      </c>
      <c r="K113" s="4" t="n"/>
      <c r="L113" s="2">
        <f>IF(K113&lt;&gt;"",K113,I113)</f>
        <v/>
      </c>
      <c r="M113" s="2">
        <f>G113-L113</f>
        <v/>
      </c>
      <c r="N113" s="5">
        <f>IF(L113&gt;0,M113/L113,"")</f>
        <v/>
      </c>
    </row>
    <row r="114">
      <c r="A114" t="n">
        <v>113</v>
      </c>
      <c r="B114" t="inlineStr">
        <is>
          <t>Michael Jordan</t>
        </is>
      </c>
      <c r="C114" t="inlineStr">
        <is>
          <t>2014-15 Upper Deck SP Authentic Immortal Ink #II-JO Michael Jordan Signed Card (#2/3) - BGS GEM MINT 9.5 - Pop 2</t>
        </is>
      </c>
      <c r="D114" t="inlineStr">
        <is>
          <t>2026 April Elite Auction</t>
        </is>
      </c>
      <c r="E114" s="2" t="n">
        <v>8388</v>
      </c>
      <c r="F114" s="2" t="n">
        <v>6875.409836065573</v>
      </c>
      <c r="G114" s="2" t="n">
        <v>7906.721311475409</v>
      </c>
      <c r="H114" t="inlineStr">
        <is>
          <t>MICHAEL JORDAN BGS 9.5 2014-15 SP AUTHENTIC #II-JO IMMORTAL INK ON CARD AUTO 2/3</t>
        </is>
      </c>
      <c r="I114" s="2" t="n">
        <v>11750</v>
      </c>
      <c r="J114" s="3" t="n">
        <v>10.5</v>
      </c>
      <c r="K114" s="4" t="n"/>
      <c r="L114" s="2">
        <f>IF(K114&lt;&gt;"",K114,I114)</f>
        <v/>
      </c>
      <c r="M114" s="2">
        <f>G114-L114</f>
        <v/>
      </c>
      <c r="N114" s="5">
        <f>IF(L114&gt;0,M114/L114,"")</f>
        <v/>
      </c>
    </row>
    <row r="115">
      <c r="A115" t="n">
        <v>114</v>
      </c>
      <c r="B115" t="inlineStr">
        <is>
          <t>Mikal Bridges</t>
        </is>
      </c>
      <c r="C115" t="inlineStr">
        <is>
          <t>2023-24 Topps Chrome Autograph Gold Refractor #CG-MB Mikal Bridges Signed Card (#40/50) - PSA GEM MT 10</t>
        </is>
      </c>
      <c r="D115" t="inlineStr">
        <is>
          <t>2026 Weekly Auction Mar 24 - Apr 2</t>
        </is>
      </c>
      <c r="E115" s="2" t="n">
        <v>10</v>
      </c>
      <c r="F115" s="2" t="n">
        <v>8.196721311475409</v>
      </c>
      <c r="G115" s="2" t="n">
        <v>9.42622950819672</v>
      </c>
      <c r="H115" t="inlineStr">
        <is>
          <t>2023 Topps Chrome Gold Refractor 40/50 Mikal Bridges #CG-MB PSA 10 GEM MT Auto</t>
        </is>
      </c>
      <c r="I115" s="2" t="n">
        <v>66.98999999999999</v>
      </c>
      <c r="J115" s="3" t="n">
        <v>11</v>
      </c>
      <c r="K115" s="4" t="n"/>
      <c r="L115" s="2">
        <f>IF(K115&lt;&gt;"",K115,I115)</f>
        <v/>
      </c>
      <c r="M115" s="2">
        <f>G115-L115</f>
        <v/>
      </c>
      <c r="N115" s="5">
        <f>IF(L115&gt;0,M115/L115,"")</f>
        <v/>
      </c>
    </row>
    <row r="116">
      <c r="A116" t="n">
        <v>115</v>
      </c>
      <c r="B116" t="inlineStr">
        <is>
          <t>Mike Trout</t>
        </is>
      </c>
      <c r="C116" t="inlineStr">
        <is>
          <t>2019 Topps Diamond Icons Autographs Gold #DIA-MT Mike Trout Signed Card (#1/1) - BGS GEM MINT 9.5, Beckett 10 - True Gem</t>
        </is>
      </c>
      <c r="D116" t="inlineStr">
        <is>
          <t>2026 April Elite Auction</t>
        </is>
      </c>
      <c r="E116" s="2" t="n">
        <v>1400</v>
      </c>
      <c r="F116" s="2" t="n">
        <v>1147.540983606557</v>
      </c>
      <c r="G116" s="2" t="n">
        <v>1319.672131147541</v>
      </c>
      <c r="H116" t="inlineStr">
        <is>
          <t>1/1 MIKE TROUT BGS 9.5 2019 TOPPS DIAMOND ICONS DIAMOND ICONS AUTO GOLD 1/1</t>
        </is>
      </c>
      <c r="I116" s="2" t="n">
        <v>1716</v>
      </c>
      <c r="J116" s="3" t="n">
        <v>9</v>
      </c>
      <c r="K116" s="4" t="n"/>
      <c r="L116" s="2">
        <f>IF(K116&lt;&gt;"",K116,I116)</f>
        <v/>
      </c>
      <c r="M116" s="2">
        <f>G116-L116</f>
        <v/>
      </c>
      <c r="N116" s="5">
        <f>IF(L116&gt;0,M116/L116,"")</f>
        <v/>
      </c>
    </row>
    <row r="117">
      <c r="A117" t="n">
        <v>116</v>
      </c>
      <c r="B117" t="inlineStr">
        <is>
          <t>Nikola Jokic</t>
        </is>
      </c>
      <c r="C117" t="inlineStr">
        <is>
          <t>2015-16 Panini Immaculate Collection Autographs Red #27 Nikola Jokic Signed Rookie Card (#02/25) - PSA Authentic, PSA/DNA MINT 9</t>
        </is>
      </c>
      <c r="D117" t="inlineStr">
        <is>
          <t>2026 April Elite Auction</t>
        </is>
      </c>
      <c r="E117" s="2" t="n">
        <v>1300</v>
      </c>
      <c r="F117" s="2" t="n">
        <v>1065.573770491803</v>
      </c>
      <c r="G117" s="2" t="n">
        <v>1225.409836065574</v>
      </c>
      <c r="H117" t="inlineStr">
        <is>
          <t>NIKOLA JOKIC 2015-16 PANINI IMMACULATE COLL #27 RC AUTO RED!! 2/25! PSA READ</t>
        </is>
      </c>
      <c r="I117" s="2" t="n">
        <v>2009.99</v>
      </c>
      <c r="J117" s="3" t="n">
        <v>13.5</v>
      </c>
      <c r="K117" s="4" t="n"/>
      <c r="L117" s="2">
        <f>IF(K117&lt;&gt;"",K117,I117)</f>
        <v/>
      </c>
      <c r="M117" s="2">
        <f>G117-L117</f>
        <v/>
      </c>
      <c r="N117" s="5">
        <f>IF(L117&gt;0,M117/L117,"")</f>
        <v/>
      </c>
    </row>
    <row r="118">
      <c r="A118" t="n">
        <v>117</v>
      </c>
      <c r="B118" t="inlineStr">
        <is>
          <t>Nikola Jokic</t>
        </is>
      </c>
      <c r="C118" t="inlineStr">
        <is>
          <t>2019 Panini Industry Summit 2015-16 National Treasures Rookie Autograph #152 Nikola Jokic Signed Rookie Card (#1/1) - PSA MINT 9, PSA/DNA GEM MT 10</t>
        </is>
      </c>
      <c r="D118" t="inlineStr">
        <is>
          <t>2026 March Elite Auction</t>
        </is>
      </c>
      <c r="E118" s="2" t="n">
        <v>9000</v>
      </c>
      <c r="F118" s="2" t="n">
        <v>7377.049180327869</v>
      </c>
      <c r="G118" s="2" t="n">
        <v>8483.606557377048</v>
      </c>
      <c r="H118" t="inlineStr">
        <is>
          <t>2015-16 National Treasures Industry Nikola Jokic Rookie Auto RC AU 1/1 PSA 9/10</t>
        </is>
      </c>
      <c r="I118" s="2" t="n">
        <v>10509</v>
      </c>
      <c r="J118" s="7" t="n">
        <v>6</v>
      </c>
      <c r="K118" s="4" t="n"/>
      <c r="L118" s="2">
        <f>IF(K118&lt;&gt;"",K118,I118)</f>
        <v/>
      </c>
      <c r="M118" s="2">
        <f>G118-L118</f>
        <v/>
      </c>
      <c r="N118" s="5">
        <f>IF(L118&gt;0,M118/L118,"")</f>
        <v/>
      </c>
    </row>
    <row r="119">
      <c r="A119" t="n">
        <v>118</v>
      </c>
      <c r="B119" t="inlineStr">
        <is>
          <t>Nikola Jokic</t>
        </is>
      </c>
      <c r="C119" t="inlineStr">
        <is>
          <t>2019-20 Panini One and One First-Team Signatures Blue #FT-FJK Nikola Jokic Signed Card (#08/49) - Panini Encased</t>
        </is>
      </c>
      <c r="D119" t="inlineStr">
        <is>
          <t>2026 Weekly Auction Mar 24 - Apr 2</t>
        </is>
      </c>
      <c r="E119" s="2" t="n">
        <v>450</v>
      </c>
      <c r="F119" s="2" t="n">
        <v>368.8524590163934</v>
      </c>
      <c r="G119" s="2" t="n">
        <v>424.1803278688524</v>
      </c>
      <c r="H119" t="inlineStr">
        <is>
          <t>2019-20 Panini One And One Nikola Jokic #FT-NJK First Team Signatures Auto /49</t>
        </is>
      </c>
      <c r="I119" s="2" t="n">
        <v>370.34</v>
      </c>
      <c r="J119" s="7" t="n">
        <v>7</v>
      </c>
      <c r="K119" s="4" t="n"/>
      <c r="L119" s="2">
        <f>IF(K119&lt;&gt;"",K119,I119)</f>
        <v/>
      </c>
      <c r="M119" s="2">
        <f>G119-L119</f>
        <v/>
      </c>
      <c r="N119" s="5">
        <f>IF(L119&gt;0,M119/L119,"")</f>
        <v/>
      </c>
    </row>
    <row r="120">
      <c r="A120" t="n">
        <v>119</v>
      </c>
      <c r="B120" t="inlineStr">
        <is>
          <t>Nikola Jokic</t>
        </is>
      </c>
      <c r="C120" t="inlineStr">
        <is>
          <t>2019-20 Panini Opulence City of Gold Signatures Gold #CG-NJ Nikola Jokic Signed Card (#10/25) - Panini Encased</t>
        </is>
      </c>
      <c r="D120" t="inlineStr">
        <is>
          <t>2026 April Elite Auction</t>
        </is>
      </c>
      <c r="E120" s="2" t="n">
        <v>500</v>
      </c>
      <c r="F120" s="2" t="n">
        <v>409.8360655737705</v>
      </c>
      <c r="G120" s="2" t="n">
        <v>471.311475409836</v>
      </c>
      <c r="H120" t="inlineStr">
        <is>
          <t>2019-20 Nikola Jokic Opulence City Of Gold On Card Auto /25 Sealed SSP Ebay 1/1</t>
        </is>
      </c>
      <c r="I120" s="2" t="n">
        <v>607.99</v>
      </c>
      <c r="J120" s="7" t="n">
        <v>7.5</v>
      </c>
      <c r="K120" s="4" t="n"/>
      <c r="L120" s="2">
        <f>IF(K120&lt;&gt;"",K120,I120)</f>
        <v/>
      </c>
      <c r="M120" s="2">
        <f>G120-L120</f>
        <v/>
      </c>
      <c r="N120" s="5">
        <f>IF(L120&gt;0,M120/L120,"")</f>
        <v/>
      </c>
    </row>
    <row r="121">
      <c r="A121" t="n">
        <v>120</v>
      </c>
      <c r="B121" t="inlineStr">
        <is>
          <t>Nikola Jokic</t>
        </is>
      </c>
      <c r="C121" t="inlineStr">
        <is>
          <t>2022-23 Panini Flawless Draft Gem Signatures Sapphire #DGS-NKJ Nikola Jokic Signed Card (#7/8) - Panini Encased</t>
        </is>
      </c>
      <c r="D121" t="inlineStr">
        <is>
          <t>2026 March Elite Auction</t>
        </is>
      </c>
      <c r="E121" s="2" t="n">
        <v>1101</v>
      </c>
      <c r="F121" s="2" t="n">
        <v>902.4590163934427</v>
      </c>
      <c r="G121" s="2" t="n">
        <v>1037.827868852459</v>
      </c>
      <c r="H121" t="inlineStr">
        <is>
          <t>2022-23 Panini Flawless Nikola Jokic Sapphire Draft Gem Signatures Auto /8</t>
        </is>
      </c>
      <c r="I121" s="2" t="n">
        <v>918.1</v>
      </c>
      <c r="J121" s="7" t="n">
        <v>7.5</v>
      </c>
      <c r="K121" s="4" t="n"/>
      <c r="L121" s="2">
        <f>IF(K121&lt;&gt;"",K121,I121)</f>
        <v/>
      </c>
      <c r="M121" s="2">
        <f>G121-L121</f>
        <v/>
      </c>
      <c r="N121" s="5">
        <f>IF(L121&gt;0,M121/L121,"")</f>
        <v/>
      </c>
    </row>
    <row r="122">
      <c r="A122" t="n">
        <v>121</v>
      </c>
      <c r="B122" t="inlineStr">
        <is>
          <t>Other</t>
        </is>
      </c>
      <c r="C122" t="inlineStr">
        <is>
          <t>2010 Topps Chrome Refractor #190 Mike Stanton Rookie Card - PSA GEM MT 10</t>
        </is>
      </c>
      <c r="D122" t="inlineStr">
        <is>
          <t>2026 Weekly Auction Apr 28 - May 7</t>
        </is>
      </c>
      <c r="E122" s="2" t="n">
        <v>110</v>
      </c>
      <c r="F122" s="2" t="n">
        <v>90.16393442622952</v>
      </c>
      <c r="G122" s="2" t="n">
        <v>103.6885245901639</v>
      </c>
      <c r="H122" t="inlineStr">
        <is>
          <t>2010 Topps Chrome Refractor Mike Giancarlo Stanton #190 PSA 10 Rookie RC</t>
        </is>
      </c>
      <c r="I122" s="2" t="n">
        <v>116.5</v>
      </c>
      <c r="J122" s="3" t="n">
        <v>11.5</v>
      </c>
      <c r="K122" s="4" t="n"/>
      <c r="L122" s="2">
        <f>IF(K122&lt;&gt;"",K122,I122)</f>
        <v/>
      </c>
      <c r="M122" s="2">
        <f>G122-L122</f>
        <v/>
      </c>
      <c r="N122" s="5">
        <f>IF(L122&gt;0,M122/L122,"")</f>
        <v/>
      </c>
    </row>
    <row r="123">
      <c r="A123" t="n">
        <v>122</v>
      </c>
      <c r="B123" t="inlineStr">
        <is>
          <t>Other</t>
        </is>
      </c>
      <c r="C123" t="inlineStr">
        <is>
          <t>2019 Panini Flawless Triple Legends Sapphire #TL-MRG Mickey Mantle/Babe Ruth/Lou Gehrig Relic Card (#05/15) - PSA GEM MT 10 - Pop 2</t>
        </is>
      </c>
      <c r="D123" t="inlineStr">
        <is>
          <t>2026 Weekly Auction Mar 24 - Apr 2</t>
        </is>
      </c>
      <c r="E123" s="2" t="n">
        <v>7001</v>
      </c>
      <c r="F123" s="2" t="n">
        <v>5738.524590163935</v>
      </c>
      <c r="G123" s="2" t="n">
        <v>6599.303278688524</v>
      </c>
      <c r="H123" t="inlineStr">
        <is>
          <t>2019 Panini Flawless Premium Ink Stephen Curry /25 on card auto PSA 9/10 Pop. 2!</t>
        </is>
      </c>
      <c r="I123" s="2" t="n">
        <v>4154.99</v>
      </c>
      <c r="J123" s="7" t="n">
        <v>5.5</v>
      </c>
      <c r="K123" s="4" t="n"/>
      <c r="L123" s="2">
        <f>IF(K123&lt;&gt;"",K123,I123)</f>
        <v/>
      </c>
      <c r="M123" s="2">
        <f>G123-L123</f>
        <v/>
      </c>
      <c r="N123" s="5">
        <f>IF(L123&gt;0,M123/L123,"")</f>
        <v/>
      </c>
    </row>
    <row r="124">
      <c r="A124" t="n">
        <v>123</v>
      </c>
      <c r="B124" t="inlineStr">
        <is>
          <t>Other</t>
        </is>
      </c>
      <c r="C124" t="inlineStr">
        <is>
          <t>2019-20 Panini One and One Dual Jersey Autographs Purple #DJA-DAF De'Aaron Fox Signed Relic Card (#06/35) - Panini Encased</t>
        </is>
      </c>
      <c r="D124" t="inlineStr">
        <is>
          <t>2026 Weekly Auction Apr 21 - Apr 30</t>
        </is>
      </c>
      <c r="E124" s="2" t="n">
        <v>66</v>
      </c>
      <c r="F124" s="2" t="n">
        <v>54.09836065573771</v>
      </c>
      <c r="G124" s="2" t="n">
        <v>62.21311475409836</v>
      </c>
      <c r="H124" t="inlineStr">
        <is>
          <t>2019-20 Panini One and One De Aaron Fox Dual Jersey Auto Purple #/35 Kings</t>
        </is>
      </c>
      <c r="I124" s="2" t="n">
        <v>128.49</v>
      </c>
      <c r="J124" s="7" t="n">
        <v>7.5</v>
      </c>
      <c r="K124" s="4" t="n"/>
      <c r="L124" s="2">
        <f>IF(K124&lt;&gt;"",K124,I124)</f>
        <v/>
      </c>
      <c r="M124" s="2">
        <f>G124-L124</f>
        <v/>
      </c>
      <c r="N124" s="5">
        <f>IF(L124&gt;0,M124/L124,"")</f>
        <v/>
      </c>
    </row>
    <row r="125">
      <c r="A125" t="n">
        <v>124</v>
      </c>
      <c r="B125" t="inlineStr">
        <is>
          <t>Other</t>
        </is>
      </c>
      <c r="C125" t="inlineStr">
        <is>
          <t>2020-21 Panini Donruss Optic Signature Series #SS-LBL LaMelo Ball Signed Rookie Card - PSA Authentic, PSA/DNA GEM MT 10</t>
        </is>
      </c>
      <c r="D125" t="inlineStr">
        <is>
          <t>2026 Weekly Auction Mar 3 - Mar 12</t>
        </is>
      </c>
      <c r="E125" s="2" t="n">
        <v>170</v>
      </c>
      <c r="F125" s="2" t="n">
        <v>139.344262295082</v>
      </c>
      <c r="G125" s="2" t="n">
        <v>160.2459016393443</v>
      </c>
      <c r="H125" t="inlineStr">
        <is>
          <t>2020-21 Donruss Optic Black Velocity Anthony Edwards Rated Rookie RC /39 PSA 10</t>
        </is>
      </c>
      <c r="I125" s="2" t="n">
        <v>4289.99</v>
      </c>
      <c r="J125" s="7" t="n">
        <v>6</v>
      </c>
      <c r="K125" s="4" t="n"/>
      <c r="L125" s="2">
        <f>IF(K125&lt;&gt;"",K125,I125)</f>
        <v/>
      </c>
      <c r="M125" s="2">
        <f>G125-L125</f>
        <v/>
      </c>
      <c r="N125" s="5">
        <f>IF(L125&gt;0,M125/L125,"")</f>
        <v/>
      </c>
    </row>
    <row r="126">
      <c r="A126" t="n">
        <v>125</v>
      </c>
      <c r="B126" t="inlineStr">
        <is>
          <t>Other</t>
        </is>
      </c>
      <c r="C126" t="inlineStr">
        <is>
          <t>2020-21 Panini One and One Rookie Jersey Autographs Blue #RJA-LMB LaMelo Ball Signed Patch Rookie Card (#20/49) - Panini Encased</t>
        </is>
      </c>
      <c r="D126" t="inlineStr">
        <is>
          <t>2026 Weekly Auction Apr 21 - Apr 30</t>
        </is>
      </c>
      <c r="E126" s="2" t="n">
        <v>191</v>
      </c>
      <c r="F126" s="2" t="n">
        <v>156.5573770491803</v>
      </c>
      <c r="G126" s="2" t="n">
        <v>180.0409836065574</v>
      </c>
      <c r="H126" t="inlineStr">
        <is>
          <t>2020-21 One And One Anthony Edwards RC Dual Jersey Patch Auto RJA /99 PSA 9/10</t>
        </is>
      </c>
      <c r="I126" s="2" t="n">
        <v>1868.32</v>
      </c>
      <c r="J126" s="7" t="n">
        <v>6</v>
      </c>
      <c r="K126" s="4" t="n"/>
      <c r="L126" s="2">
        <f>IF(K126&lt;&gt;"",K126,I126)</f>
        <v/>
      </c>
      <c r="M126" s="2">
        <f>G126-L126</f>
        <v/>
      </c>
      <c r="N126" s="5">
        <f>IF(L126&gt;0,M126/L126,"")</f>
        <v/>
      </c>
    </row>
    <row r="127">
      <c r="A127" t="n">
        <v>126</v>
      </c>
      <c r="B127" t="inlineStr">
        <is>
          <t>Other</t>
        </is>
      </c>
      <c r="C127" t="inlineStr">
        <is>
          <t>2020-21 Panini Prizm Rookie Penmanship Signatures #RP-LMB Lamelo Ball Signed Rookie Card - Panini Sealed</t>
        </is>
      </c>
      <c r="D127" t="inlineStr">
        <is>
          <t>2026 Weekly Auction Mar 31 - Apr 9</t>
        </is>
      </c>
      <c r="E127" s="2" t="n">
        <v>160</v>
      </c>
      <c r="F127" s="2" t="n">
        <v>131.1475409836065</v>
      </c>
      <c r="G127" s="2" t="n">
        <v>150.8196721311475</v>
      </c>
      <c r="H127" t="inlineStr">
        <is>
          <t>LaMelo Ball 2020 Panini Prizm #RP-LMB Rookie Penmanship Rookie Auto RC</t>
        </is>
      </c>
      <c r="I127" s="2" t="n">
        <v>118</v>
      </c>
      <c r="J127" s="3" t="n">
        <v>8</v>
      </c>
      <c r="K127" s="4" t="n"/>
      <c r="L127" s="2">
        <f>IF(K127&lt;&gt;"",K127,I127)</f>
        <v/>
      </c>
      <c r="M127" s="2">
        <f>G127-L127</f>
        <v/>
      </c>
      <c r="N127" s="5">
        <f>IF(L127&gt;0,M127/L127,"")</f>
        <v/>
      </c>
    </row>
    <row r="128">
      <c r="A128" t="n">
        <v>127</v>
      </c>
      <c r="B128" t="inlineStr">
        <is>
          <t>Other</t>
        </is>
      </c>
      <c r="C128" t="inlineStr">
        <is>
          <t>2022 Leaf Exotic Leopard #BA-MB2 Matas Buzelis Signed Rookie Card (#1/1) - Leaf Encased</t>
        </is>
      </c>
      <c r="D128" t="inlineStr">
        <is>
          <t>2026 Weekly Auction Mar 10 - Mar 19</t>
        </is>
      </c>
      <c r="E128" s="2" t="n">
        <v>92</v>
      </c>
      <c r="F128" s="2" t="n">
        <v>75.40983606557377</v>
      </c>
      <c r="G128" s="2" t="n">
        <v>86.72131147540983</v>
      </c>
      <c r="H128" t="inlineStr">
        <is>
          <t>2022-23 Leaf Exotic Cheetah Prismatic 1/1 Matas Buzelis #BA-MB2 Auto</t>
        </is>
      </c>
      <c r="I128" s="2" t="n">
        <v>104.75</v>
      </c>
      <c r="J128" s="3" t="n">
        <v>10.5</v>
      </c>
      <c r="K128" s="4" t="n"/>
      <c r="L128" s="2">
        <f>IF(K128&lt;&gt;"",K128,I128)</f>
        <v/>
      </c>
      <c r="M128" s="2">
        <f>G128-L128</f>
        <v/>
      </c>
      <c r="N128" s="5">
        <f>IF(L128&gt;0,M128/L128,"")</f>
        <v/>
      </c>
    </row>
    <row r="129">
      <c r="A129" t="n">
        <v>128</v>
      </c>
      <c r="B129" t="inlineStr">
        <is>
          <t>Other</t>
        </is>
      </c>
      <c r="C129" t="inlineStr">
        <is>
          <t>2024 Topps 50/50 Chrome Red Refractor #39 Shohei Ohtani (#1/5) - PSA MINT 9</t>
        </is>
      </c>
      <c r="D129" t="inlineStr">
        <is>
          <t>2026 April Elite Auction</t>
        </is>
      </c>
      <c r="E129" s="2" t="n">
        <v>1950</v>
      </c>
      <c r="F129" s="2" t="n">
        <v>1598.360655737705</v>
      </c>
      <c r="G129" s="2" t="n">
        <v>1838.114754098361</v>
      </c>
      <c r="H129" t="inlineStr">
        <is>
          <t>LeBron James Topps Chrome Red Refractor #4/5 Mcdonalds 2024 Franch Picks PSA 10</t>
        </is>
      </c>
      <c r="I129" s="2" t="n">
        <v>1104.25</v>
      </c>
      <c r="J129" s="3" t="n">
        <v>8.5</v>
      </c>
      <c r="K129" s="4" t="n"/>
      <c r="L129" s="2">
        <f>IF(K129&lt;&gt;"",K129,I129)</f>
        <v/>
      </c>
      <c r="M129" s="2">
        <f>G129-L129</f>
        <v/>
      </c>
      <c r="N129" s="5">
        <f>IF(L129&gt;0,M129/L129,"")</f>
        <v/>
      </c>
    </row>
    <row r="130">
      <c r="A130" t="n">
        <v>129</v>
      </c>
      <c r="B130" t="inlineStr">
        <is>
          <t>Other</t>
        </is>
      </c>
      <c r="C130" t="inlineStr">
        <is>
          <t>2024 Topps 50/50 Chrome Rose Gold Refractor #15 Shohei Ohtani (#04/17) - PSA MINT 9</t>
        </is>
      </c>
      <c r="D130" t="inlineStr">
        <is>
          <t>2026 Weekly Auction Apr 28 - May 7</t>
        </is>
      </c>
      <c r="E130" s="2" t="n">
        <v>1350</v>
      </c>
      <c r="F130" s="2" t="n">
        <v>1106.55737704918</v>
      </c>
      <c r="G130" s="2" t="n">
        <v>1272.540983606557</v>
      </c>
      <c r="H130" t="inlineStr">
        <is>
          <t>2024 Topps 50/50: Shohei Ohtani Refractor Chrome Rose Gold #5/17 Dodgers</t>
        </is>
      </c>
      <c r="I130" s="2" t="n">
        <v>514.99</v>
      </c>
      <c r="J130" s="3" t="n">
        <v>8</v>
      </c>
      <c r="K130" s="4" t="n"/>
      <c r="L130" s="2">
        <f>IF(K130&lt;&gt;"",K130,I130)</f>
        <v/>
      </c>
      <c r="M130" s="2">
        <f>G130-L130</f>
        <v/>
      </c>
      <c r="N130" s="5">
        <f>IF(L130&gt;0,M130/L130,"")</f>
        <v/>
      </c>
    </row>
    <row r="131">
      <c r="A131" t="n">
        <v>130</v>
      </c>
      <c r="B131" t="inlineStr">
        <is>
          <t>Other</t>
        </is>
      </c>
      <c r="C131" t="inlineStr">
        <is>
          <t>2024-25 Panini Flawless Dual Patches Fuchsia #DP-LMB LaMelo Ball Patch Card (#5/5) - Panini Encased</t>
        </is>
      </c>
      <c r="D131" t="inlineStr">
        <is>
          <t>2026 April Elite Auction</t>
        </is>
      </c>
      <c r="E131" s="2" t="n">
        <v>500</v>
      </c>
      <c r="F131" s="2" t="n">
        <v>409.8360655737705</v>
      </c>
      <c r="G131" s="2" t="n">
        <v>471.311475409836</v>
      </c>
      <c r="H131" t="inlineStr">
        <is>
          <t>2024-25 Flawless LeBron James Fuchsia Cavs Logo Patch /5! Game Worn! RARE!💎📈</t>
        </is>
      </c>
      <c r="I131" s="2" t="n">
        <v>1795</v>
      </c>
      <c r="J131" s="7" t="n">
        <v>7.5</v>
      </c>
      <c r="K131" s="4" t="n"/>
      <c r="L131" s="2">
        <f>IF(K131&lt;&gt;"",K131,I131)</f>
        <v/>
      </c>
      <c r="M131" s="2">
        <f>G131-L131</f>
        <v/>
      </c>
      <c r="N131" s="5">
        <f>IF(L131&gt;0,M131/L131,"")</f>
        <v/>
      </c>
    </row>
    <row r="132">
      <c r="A132" t="n">
        <v>131</v>
      </c>
      <c r="B132" t="inlineStr">
        <is>
          <t>Other</t>
        </is>
      </c>
      <c r="C132" t="inlineStr">
        <is>
          <t>2024-25 Panini Flawless Vault Memorabilia #FVM-KAT Karl-Anthony Towns Patch Card (#12/25) - PSA NM-MT 8</t>
        </is>
      </c>
      <c r="D132" t="inlineStr">
        <is>
          <t>2026 Weekly Auction Mar 24 - Apr 2</t>
        </is>
      </c>
      <c r="E132" s="2" t="n">
        <v>215</v>
      </c>
      <c r="F132" s="2" t="n">
        <v>176.2295081967213</v>
      </c>
      <c r="G132" s="2" t="n">
        <v>202.6639344262295</v>
      </c>
      <c r="H132" t="inlineStr">
        <is>
          <t>2024-25 Flawless Karl - Anthony Towns NIKE SWOOSH /25</t>
        </is>
      </c>
      <c r="I132" s="2" t="n">
        <v>347.15</v>
      </c>
      <c r="J132" s="7" t="n">
        <v>7</v>
      </c>
      <c r="K132" s="4" t="n"/>
      <c r="L132" s="2">
        <f>IF(K132&lt;&gt;"",K132,I132)</f>
        <v/>
      </c>
      <c r="M132" s="2">
        <f>G132-L132</f>
        <v/>
      </c>
      <c r="N132" s="5">
        <f>IF(L132&gt;0,M132/L132,"")</f>
        <v/>
      </c>
    </row>
    <row r="133">
      <c r="A133" t="n">
        <v>132</v>
      </c>
      <c r="B133" t="inlineStr">
        <is>
          <t>Other</t>
        </is>
      </c>
      <c r="C133" t="inlineStr">
        <is>
          <t>2024-25 Panini Flawless Vault Memorabilia #FVM-PAU Pau Gasol Patch Card (#5/6) - Panini Encased</t>
        </is>
      </c>
      <c r="D133" t="inlineStr">
        <is>
          <t>2026 Weekly Auction Mar 10 - Mar 19</t>
        </is>
      </c>
      <c r="E133" s="2" t="n">
        <v>382</v>
      </c>
      <c r="F133" s="2" t="n">
        <v>313.1147540983607</v>
      </c>
      <c r="G133" s="2" t="n">
        <v>360.0819672131148</v>
      </c>
      <c r="H133" t="inlineStr">
        <is>
          <t>2024-25 Flawless VAULT MEMORABILIA  NIKE SWOOSH  Pau Gasol /6 🔥</t>
        </is>
      </c>
      <c r="I133" s="2" t="n">
        <v>664.87</v>
      </c>
      <c r="J133" s="7" t="n">
        <v>7</v>
      </c>
      <c r="K133" s="4" t="n"/>
      <c r="L133" s="2">
        <f>IF(K133&lt;&gt;"",K133,I133)</f>
        <v/>
      </c>
      <c r="M133" s="2">
        <f>G133-L133</f>
        <v/>
      </c>
      <c r="N133" s="5">
        <f>IF(L133&gt;0,M133/L133,"")</f>
        <v/>
      </c>
    </row>
    <row r="134">
      <c r="A134" t="n">
        <v>133</v>
      </c>
      <c r="B134" t="inlineStr">
        <is>
          <t>Other</t>
        </is>
      </c>
      <c r="C134" t="inlineStr">
        <is>
          <t>2024-25 Panini One And One Laundry Tag Brand Logo #LTB-WEL Jaylen Wells Patch Rookie Card (#10/10) - Panini Encased</t>
        </is>
      </c>
      <c r="D134" t="inlineStr">
        <is>
          <t>2026 Weekly Auction Mar 10 - Mar 19</t>
        </is>
      </c>
      <c r="E134" s="2" t="n">
        <v>110</v>
      </c>
      <c r="F134" s="2" t="n">
        <v>90.16393442622952</v>
      </c>
      <c r="G134" s="2" t="n">
        <v>103.6885245901639</v>
      </c>
      <c r="H134" t="inlineStr">
        <is>
          <t>10/10 ≈1/1 2024-25 Panini One And One Jaylen Wells RC Rookie Nike Tag Patch Gold</t>
        </is>
      </c>
      <c r="I134" s="2" t="n">
        <v>210.49</v>
      </c>
      <c r="J134" s="3" t="n">
        <v>8</v>
      </c>
      <c r="K134" s="4" t="n"/>
      <c r="L134" s="2">
        <f>IF(K134&lt;&gt;"",K134,I134)</f>
        <v/>
      </c>
      <c r="M134" s="2">
        <f>G134-L134</f>
        <v/>
      </c>
      <c r="N134" s="5">
        <f>IF(L134&gt;0,M134/L134,"")</f>
        <v/>
      </c>
    </row>
    <row r="135">
      <c r="A135" t="n">
        <v>134</v>
      </c>
      <c r="B135" t="inlineStr">
        <is>
          <t>Other</t>
        </is>
      </c>
      <c r="C135" t="inlineStr">
        <is>
          <t>2024-25 Panini One and One Logoman #LM-CDY Cody Williams Logoman Patch Rookie Card (#2/5) - Panini Encased</t>
        </is>
      </c>
      <c r="D135" t="inlineStr">
        <is>
          <t>2026 April Elite Auction</t>
        </is>
      </c>
      <c r="E135" s="2" t="n">
        <v>725</v>
      </c>
      <c r="F135" s="2" t="n">
        <v>594.2622950819672</v>
      </c>
      <c r="G135" s="2" t="n">
        <v>683.4016393442622</v>
      </c>
      <c r="H135" t="inlineStr">
        <is>
          <t>2024-25 Panini One And One Cody Williams Logoman Patch Jersey RC Rookie Jazz /5</t>
        </is>
      </c>
      <c r="I135" s="2" t="n">
        <v>813.97</v>
      </c>
      <c r="J135" s="3" t="n">
        <v>8.5</v>
      </c>
      <c r="K135" s="4" t="n"/>
      <c r="L135" s="2">
        <f>IF(K135&lt;&gt;"",K135,I135)</f>
        <v/>
      </c>
      <c r="M135" s="2">
        <f>G135-L135</f>
        <v/>
      </c>
      <c r="N135" s="5">
        <f>IF(L135&gt;0,M135/L135,"")</f>
        <v/>
      </c>
    </row>
    <row r="136">
      <c r="A136" t="n">
        <v>135</v>
      </c>
      <c r="B136" t="inlineStr">
        <is>
          <t>Other</t>
        </is>
      </c>
      <c r="C136" t="inlineStr">
        <is>
          <t>2025 Bowman Chrome U Black Refractor #109 Fernando Mendoza Rookie Card (#03/10) - PSA MINT 9</t>
        </is>
      </c>
      <c r="D136" t="inlineStr">
        <is>
          <t>2026 Weekly Auction Mar 31 - Apr 9</t>
        </is>
      </c>
      <c r="E136" s="2" t="n">
        <v>450</v>
      </c>
      <c r="F136" s="2" t="n">
        <v>368.8524590163934</v>
      </c>
      <c r="G136" s="2" t="n">
        <v>424.1803278688524</v>
      </c>
      <c r="H136" t="inlineStr">
        <is>
          <t>2025 Bowman Chrome U Black Refractor #109 Fernando Mendoza # 4/10 Indiana</t>
        </is>
      </c>
      <c r="I136" s="2" t="n">
        <v>662.87</v>
      </c>
      <c r="J136" s="3" t="n">
        <v>12.5</v>
      </c>
      <c r="K136" s="4" t="n"/>
      <c r="L136" s="2">
        <f>IF(K136&lt;&gt;"",K136,I136)</f>
        <v/>
      </c>
      <c r="M136" s="2">
        <f>G136-L136</f>
        <v/>
      </c>
      <c r="N136" s="5">
        <f>IF(L136&gt;0,M136/L136,"")</f>
        <v/>
      </c>
    </row>
    <row r="137">
      <c r="A137" t="n">
        <v>136</v>
      </c>
      <c r="B137" t="inlineStr">
        <is>
          <t>Other</t>
        </is>
      </c>
      <c r="C137" t="inlineStr">
        <is>
          <t>2025 Bowman U Chrome Black Refractor #109 Fernando Mendoza Rookie Card (#04/10) - PSA GEM MT 10 - Pop 2</t>
        </is>
      </c>
      <c r="D137" t="inlineStr">
        <is>
          <t>2026 April Elite Auction</t>
        </is>
      </c>
      <c r="E137" s="2" t="n">
        <v>2050</v>
      </c>
      <c r="F137" s="2" t="n">
        <v>1680.327868852459</v>
      </c>
      <c r="G137" s="2" t="n">
        <v>1932.377049180328</v>
      </c>
      <c r="H137" t="inlineStr">
        <is>
          <t>2025 Bowman Chrome U Black Refractor #109 Fernando Mendoza # 4/10 Indiana</t>
        </is>
      </c>
      <c r="I137" s="2" t="n">
        <v>662.87</v>
      </c>
      <c r="J137" s="3" t="n">
        <v>12.5</v>
      </c>
      <c r="K137" s="4" t="n"/>
      <c r="L137" s="2">
        <f>IF(K137&lt;&gt;"",K137,I137)</f>
        <v/>
      </c>
      <c r="M137" s="2">
        <f>G137-L137</f>
        <v/>
      </c>
      <c r="N137" s="5">
        <f>IF(L137&gt;0,M137/L137,"")</f>
        <v/>
      </c>
    </row>
    <row r="138">
      <c r="A138" t="n">
        <v>137</v>
      </c>
      <c r="B138" t="inlineStr">
        <is>
          <t>Paolo Banchero</t>
        </is>
      </c>
      <c r="C138" t="inlineStr">
        <is>
          <t>2022-23 Panini National Treasures Rookie Patch Autographs Ruby '25 Black Box #110 Paolo Banchero Signed Patch Rookie Card (#1/1) - Panini Encased</t>
        </is>
      </c>
      <c r="D138" t="inlineStr">
        <is>
          <t>2026 April Elite Auction</t>
        </is>
      </c>
      <c r="E138" s="2" t="n">
        <v>1650</v>
      </c>
      <c r="F138" s="2" t="n">
        <v>1352.459016393443</v>
      </c>
      <c r="G138" s="2" t="n">
        <v>1555.327868852459</v>
      </c>
      <c r="H138" t="inlineStr">
        <is>
          <t>PAOLO BANCHERO 2022-23 NATIONAL TREASURES #110 ROOKIE PATCH AUTO RPA B/BX 1/1</t>
        </is>
      </c>
      <c r="I138" s="2" t="n">
        <v>4079</v>
      </c>
      <c r="J138" s="3" t="n">
        <v>14</v>
      </c>
      <c r="K138" s="4" t="n"/>
      <c r="L138" s="2">
        <f>IF(K138&lt;&gt;"",K138,I138)</f>
        <v/>
      </c>
      <c r="M138" s="2">
        <f>G138-L138</f>
        <v/>
      </c>
      <c r="N138" s="5">
        <f>IF(L138&gt;0,M138/L138,"")</f>
        <v/>
      </c>
    </row>
    <row r="139">
      <c r="A139" t="n">
        <v>138</v>
      </c>
      <c r="B139" t="inlineStr">
        <is>
          <t>Paolo Banchero</t>
        </is>
      </c>
      <c r="C139" t="inlineStr">
        <is>
          <t>2022-23 Panini One And One Precision Rookie Jersey Autographs Ruby '25 Black Box #PRJ-PB5 Paolo Banchero Signed Patch Rookie Card (#1/1) - Panini Encased</t>
        </is>
      </c>
      <c r="D139" t="inlineStr">
        <is>
          <t>2026 March Elite Auction</t>
        </is>
      </c>
      <c r="E139" s="2" t="n">
        <v>755</v>
      </c>
      <c r="F139" s="2" t="n">
        <v>618.8524590163935</v>
      </c>
      <c r="G139" s="2" t="n">
        <v>711.6803278688525</v>
      </c>
      <c r="H139" t="inlineStr">
        <is>
          <t>35/35 ≈1/1 ! 2022-23 Panini One And One Paolo Banchero Rookie RC Patch Auto RPA</t>
        </is>
      </c>
      <c r="I139" s="2" t="n">
        <v>457.48</v>
      </c>
      <c r="J139" s="3" t="n">
        <v>9</v>
      </c>
      <c r="K139" s="4" t="n"/>
      <c r="L139" s="2">
        <f>IF(K139&lt;&gt;"",K139,I139)</f>
        <v/>
      </c>
      <c r="M139" s="2">
        <f>G139-L139</f>
        <v/>
      </c>
      <c r="N139" s="5">
        <f>IF(L139&gt;0,M139/L139,"")</f>
        <v/>
      </c>
    </row>
    <row r="140">
      <c r="A140" t="n">
        <v>139</v>
      </c>
      <c r="B140" t="inlineStr">
        <is>
          <t>Paolo Banchero</t>
        </is>
      </c>
      <c r="C140" t="inlineStr">
        <is>
          <t>2023-24 Panini Phoenix Phoenix Autographs #PA-PAO Paolo Banchero Signed Card (#11/15) - PSA NM-MT 8</t>
        </is>
      </c>
      <c r="D140" t="inlineStr">
        <is>
          <t>2026 Weekly Auction Mar 3 - Mar 12</t>
        </is>
      </c>
      <c r="E140" s="2" t="n">
        <v>98</v>
      </c>
      <c r="F140" s="2" t="n">
        <v>80.32786885245902</v>
      </c>
      <c r="G140" s="2" t="n">
        <v>92.37704918032786</v>
      </c>
      <c r="H140" t="inlineStr">
        <is>
          <t>2023-24 Panini Phoenix Paolo Banchero SSP White Ice AUTO 11/15 ***MINT***</t>
        </is>
      </c>
      <c r="I140" s="2" t="n">
        <v>230.86</v>
      </c>
      <c r="J140" s="7" t="n">
        <v>6</v>
      </c>
      <c r="K140" s="4" t="n"/>
      <c r="L140" s="2">
        <f>IF(K140&lt;&gt;"",K140,I140)</f>
        <v/>
      </c>
      <c r="M140" s="2">
        <f>G140-L140</f>
        <v/>
      </c>
      <c r="N140" s="5">
        <f>IF(L140&gt;0,M140/L140,"")</f>
        <v/>
      </c>
    </row>
    <row r="141">
      <c r="A141" t="n">
        <v>140</v>
      </c>
      <c r="B141" t="inlineStr">
        <is>
          <t>Patrick Mahomes</t>
        </is>
      </c>
      <c r="C141" t="inlineStr">
        <is>
          <t>2017 Panini Donruss Optic Rated Rookie Red/Yellow #177 Patrick Mahomes II Rookie Card - PSA GEM MT 10</t>
        </is>
      </c>
      <c r="D141" t="inlineStr">
        <is>
          <t>2026 Weekly Auction May 19 - May 28</t>
        </is>
      </c>
      <c r="E141" s="2" t="n">
        <v>2105</v>
      </c>
      <c r="F141" s="2" t="n">
        <v>1725.409836065574</v>
      </c>
      <c r="G141" s="2" t="n">
        <v>1984.221311475409</v>
      </c>
      <c r="H141" t="inlineStr">
        <is>
          <t>PATRICK MAHOMES II PSA 10 2017 DONRUSS OPTIC #177 RED YELLOW RC RATED ROOKIE</t>
        </is>
      </c>
      <c r="I141" s="2" t="n">
        <v>2272</v>
      </c>
      <c r="J141" s="3" t="n">
        <v>11.5</v>
      </c>
      <c r="K141" s="4" t="n"/>
      <c r="L141" s="2">
        <f>IF(K141&lt;&gt;"",K141,I141)</f>
        <v/>
      </c>
      <c r="M141" s="2">
        <f>G141-L141</f>
        <v/>
      </c>
      <c r="N141" s="5">
        <f>IF(L141&gt;0,M141/L141,"")</f>
        <v/>
      </c>
    </row>
    <row r="142">
      <c r="A142" t="n">
        <v>141</v>
      </c>
      <c r="B142" t="inlineStr">
        <is>
          <t>Paul Skenes</t>
        </is>
      </c>
      <c r="C142" t="inlineStr">
        <is>
          <t>2023 Bowman Draft Picks &amp; Prospects Autographs Red #DPPA-PS Paul Skenes Signed Rookie Card (#2/5) - PSA MINT 9</t>
        </is>
      </c>
      <c r="D142" t="inlineStr">
        <is>
          <t>2026 April Elite Auction</t>
        </is>
      </c>
      <c r="E142" s="2" t="n">
        <v>2000</v>
      </c>
      <c r="F142" s="2" t="n">
        <v>1639.344262295082</v>
      </c>
      <c r="G142" s="2" t="n">
        <v>1885.245901639344</v>
      </c>
      <c r="H142" t="inlineStr">
        <is>
          <t>2023 BOWMAN DRAFT DRAFT PICKS &amp; PROSPECTS AUTO RED PAUL SKENES 2/5 PSA 9</t>
        </is>
      </c>
      <c r="I142" s="2" t="n">
        <v>1580</v>
      </c>
      <c r="J142" s="3" t="n">
        <v>8.5</v>
      </c>
      <c r="K142" s="4" t="n"/>
      <c r="L142" s="2">
        <f>IF(K142&lt;&gt;"",K142,I142)</f>
        <v/>
      </c>
      <c r="M142" s="2">
        <f>G142-L142</f>
        <v/>
      </c>
      <c r="N142" s="5">
        <f>IF(L142&gt;0,M142/L142,"")</f>
        <v/>
      </c>
    </row>
    <row r="143">
      <c r="A143" t="n">
        <v>142</v>
      </c>
      <c r="B143" t="inlineStr">
        <is>
          <t>Ray Allen</t>
        </is>
      </c>
      <c r="C143" t="inlineStr">
        <is>
          <t>2014-15 Panini Immaculate Collection Ink Red #4 Ray Allen Signed Card (#23/25) - PSA NM-MT 8</t>
        </is>
      </c>
      <c r="D143" t="inlineStr">
        <is>
          <t>2026 Weekly Auction Mar 24 - Apr 2</t>
        </is>
      </c>
      <c r="E143" s="2" t="n">
        <v>50</v>
      </c>
      <c r="F143" s="2" t="n">
        <v>40.98360655737705</v>
      </c>
      <c r="G143" s="2" t="n">
        <v>47.1311475409836</v>
      </c>
      <c r="H143" t="inlineStr">
        <is>
          <t>2014 Panini Immaculate Ink Red #4 Ray Allen Miami Heat HOF AUTO 23/25 PSA 8</t>
        </is>
      </c>
      <c r="I143" s="2" t="n">
        <v>104.25</v>
      </c>
      <c r="J143" s="3" t="n">
        <v>10</v>
      </c>
      <c r="K143" s="4" t="n"/>
      <c r="L143" s="2">
        <f>IF(K143&lt;&gt;"",K143,I143)</f>
        <v/>
      </c>
      <c r="M143" s="2">
        <f>G143-L143</f>
        <v/>
      </c>
      <c r="N143" s="5">
        <f>IF(L143&gt;0,M143/L143,"")</f>
        <v/>
      </c>
    </row>
    <row r="144">
      <c r="A144" t="n">
        <v>143</v>
      </c>
      <c r="B144" t="inlineStr">
        <is>
          <t>Roki Sasaki</t>
        </is>
      </c>
      <c r="C144" t="inlineStr">
        <is>
          <t>2025 Topps Five Star Golden Graphs #GG-RS Roki Sasaki Signed Rookie Card (#01/30) - Topps Encased</t>
        </is>
      </c>
      <c r="D144" t="inlineStr">
        <is>
          <t>2026 Weekly Auction Mar 24 - Apr 2</t>
        </is>
      </c>
      <c r="E144" s="2" t="n">
        <v>1200</v>
      </c>
      <c r="F144" s="2" t="n">
        <v>983.6065573770492</v>
      </c>
      <c r="G144" s="2" t="n">
        <v>1131.147540983606</v>
      </c>
      <c r="H144" t="inlineStr">
        <is>
          <t>2025 Topps Five Star Roki Sasaki Rookie Golden Graphs Auto 1/30 Dodgers #GG-RS</t>
        </is>
      </c>
      <c r="I144" s="2" t="n">
        <v>750</v>
      </c>
      <c r="J144" s="3" t="n">
        <v>13</v>
      </c>
      <c r="K144" s="4" t="n"/>
      <c r="L144" s="2">
        <f>IF(K144&lt;&gt;"",K144,I144)</f>
        <v/>
      </c>
      <c r="M144" s="2">
        <f>G144-L144</f>
        <v/>
      </c>
      <c r="N144" s="5">
        <f>IF(L144&gt;0,M144/L144,"")</f>
        <v/>
      </c>
    </row>
    <row r="145">
      <c r="A145" t="n">
        <v>144</v>
      </c>
      <c r="B145" t="inlineStr">
        <is>
          <t>Roki Sasaki</t>
        </is>
      </c>
      <c r="C145" t="inlineStr">
        <is>
          <t>2025 Topps Five Star Pentamerous Penmanship #PP-RS Roki Sasaki Signed Rookie Card (#20/25) - Topps Encased</t>
        </is>
      </c>
      <c r="D145" t="inlineStr">
        <is>
          <t>2026 Weekly Auction Apr 7 - Apr 16</t>
        </is>
      </c>
      <c r="E145" s="2" t="n">
        <v>330</v>
      </c>
      <c r="F145" s="2" t="n">
        <v>270.4918032786885</v>
      </c>
      <c r="G145" s="2" t="n">
        <v>311.0655737704918</v>
      </c>
      <c r="H145" t="inlineStr">
        <is>
          <t>2025 Topps Chrome Black Roki Sasaki Rookie (RC) ORANGE Parallel  Autograph /25</t>
        </is>
      </c>
      <c r="I145" s="2" t="n">
        <v>739.95</v>
      </c>
      <c r="J145" s="7" t="n">
        <v>7.5</v>
      </c>
      <c r="K145" s="4" t="n"/>
      <c r="L145" s="2">
        <f>IF(K145&lt;&gt;"",K145,I145)</f>
        <v/>
      </c>
      <c r="M145" s="2">
        <f>G145-L145</f>
        <v/>
      </c>
      <c r="N145" s="5">
        <f>IF(L145&gt;0,M145/L145,"")</f>
        <v/>
      </c>
    </row>
    <row r="146">
      <c r="A146" t="n">
        <v>145</v>
      </c>
      <c r="B146" t="inlineStr">
        <is>
          <t>Shai Gilgeous-Alexander</t>
        </is>
      </c>
      <c r="C146" t="inlineStr">
        <is>
          <t>2018-19 Panini Impeccable Rookie Signatures #IR-SGA Shai Gilgeous-Alexander Signed Rookie Card (#22/99) - PSA GEM MT 10 - Pop 4</t>
        </is>
      </c>
      <c r="D146" t="inlineStr">
        <is>
          <t>2026 April Elite Auction</t>
        </is>
      </c>
      <c r="E146" s="2" t="n">
        <v>3150</v>
      </c>
      <c r="F146" s="2" t="n">
        <v>2581.967213114754</v>
      </c>
      <c r="G146" s="2" t="n">
        <v>2969.262295081967</v>
      </c>
      <c r="H146" t="inlineStr">
        <is>
          <t>2018-19 Impeccable RC Auto Shai Gilgeous-Alexander /99 PSA 10</t>
        </is>
      </c>
      <c r="I146" s="2" t="n">
        <v>3823.69</v>
      </c>
      <c r="J146" s="7" t="n">
        <v>7.5</v>
      </c>
      <c r="K146" s="4" t="n"/>
      <c r="L146" s="2">
        <f>IF(K146&lt;&gt;"",K146,I146)</f>
        <v/>
      </c>
      <c r="M146" s="2">
        <f>G146-L146</f>
        <v/>
      </c>
      <c r="N146" s="5">
        <f>IF(L146&gt;0,M146/L146,"")</f>
        <v/>
      </c>
    </row>
    <row r="147">
      <c r="A147" t="n">
        <v>146</v>
      </c>
      <c r="B147" t="inlineStr">
        <is>
          <t>Shai Gilgeous-Alexander</t>
        </is>
      </c>
      <c r="C147" t="inlineStr">
        <is>
          <t>2018-19 Panini Impeccable Stainless Stars Autograph #SA-SGA Shai Gilgeous-Alexander Signed Rookie Card (#74/99) - PSA Authentic, PSA/DNA GEM MT 10</t>
        </is>
      </c>
      <c r="D147" t="inlineStr">
        <is>
          <t>2026 March Elite Auction</t>
        </is>
      </c>
      <c r="E147" s="2" t="n">
        <v>1600</v>
      </c>
      <c r="F147" s="2" t="n">
        <v>1311.475409836066</v>
      </c>
      <c r="G147" s="2" t="n">
        <v>1508.196721311475</v>
      </c>
      <c r="H147" t="inlineStr">
        <is>
          <t>2018-19 Impeccable RC Auto Shai Gilgeous-Alexander /99 PSA 10</t>
        </is>
      </c>
      <c r="I147" s="2" t="n">
        <v>3823.69</v>
      </c>
      <c r="J147" s="3" t="n">
        <v>8</v>
      </c>
      <c r="K147" s="4" t="n"/>
      <c r="L147" s="2">
        <f>IF(K147&lt;&gt;"",K147,I147)</f>
        <v/>
      </c>
      <c r="M147" s="2">
        <f>G147-L147</f>
        <v/>
      </c>
      <c r="N147" s="5">
        <f>IF(L147&gt;0,M147/L147,"")</f>
        <v/>
      </c>
    </row>
    <row r="148">
      <c r="A148" t="n">
        <v>147</v>
      </c>
      <c r="B148" t="inlineStr">
        <is>
          <t>Shai Gilgeous-Alexander</t>
        </is>
      </c>
      <c r="C148" t="inlineStr">
        <is>
          <t>2018-19 Panini Prizm Pink Ice #184 Shai Gilgeous-Alexander - PSA GEM MT 10</t>
        </is>
      </c>
      <c r="D148" t="inlineStr">
        <is>
          <t>2026 Weekly Auction Mar 31 - Apr 9</t>
        </is>
      </c>
      <c r="E148" s="2" t="n">
        <v>500</v>
      </c>
      <c r="F148" s="2" t="n">
        <v>409.8360655737705</v>
      </c>
      <c r="G148" s="2" t="n">
        <v>471.311475409836</v>
      </c>
      <c r="H148" t="inlineStr">
        <is>
          <t>2018-19 Panini Prizm Shai Gilgeous-Alexander Prizm Green RC #184 PSA 10</t>
        </is>
      </c>
      <c r="I148" s="2" t="n">
        <v>505.62</v>
      </c>
      <c r="J148" s="3" t="n">
        <v>11</v>
      </c>
      <c r="K148" s="4" t="n"/>
      <c r="L148" s="2">
        <f>IF(K148&lt;&gt;"",K148,I148)</f>
        <v/>
      </c>
      <c r="M148" s="2">
        <f>G148-L148</f>
        <v/>
      </c>
      <c r="N148" s="5">
        <f>IF(L148&gt;0,M148/L148,"")</f>
        <v/>
      </c>
    </row>
    <row r="149">
      <c r="A149" t="n">
        <v>148</v>
      </c>
      <c r="B149" t="inlineStr">
        <is>
          <t>Shai Gilgeous-Alexander</t>
        </is>
      </c>
      <c r="C149" t="inlineStr">
        <is>
          <t>2021-22 Panini Flawless Horizontal Patch Autograph Ruby #HPA-SGA Shai Gilgeous-Alexander Signed Patch Card (#09/15) - PSA NM-MT 8, PSA/DNA NM-MT 8</t>
        </is>
      </c>
      <c r="D149" t="inlineStr">
        <is>
          <t>2026 March Elite Auction</t>
        </is>
      </c>
      <c r="E149" s="2" t="n">
        <v>4000</v>
      </c>
      <c r="F149" s="2" t="n">
        <v>3278.688524590164</v>
      </c>
      <c r="G149" s="2" t="n">
        <v>3770.491803278688</v>
      </c>
      <c r="H149" t="inlineStr">
        <is>
          <t>2021-22 Panini Flawless Shai Gilgeous-Alexander Excellence Auto Emerald /5</t>
        </is>
      </c>
      <c r="I149" s="2" t="n">
        <v>1637.51</v>
      </c>
      <c r="J149" s="7" t="n">
        <v>5.5</v>
      </c>
      <c r="K149" s="4" t="n"/>
      <c r="L149" s="2">
        <f>IF(K149&lt;&gt;"",K149,I149)</f>
        <v/>
      </c>
      <c r="M149" s="2">
        <f>G149-L149</f>
        <v/>
      </c>
      <c r="N149" s="5">
        <f>IF(L149&gt;0,M149/L149,"")</f>
        <v/>
      </c>
    </row>
    <row r="150">
      <c r="A150" t="n">
        <v>149</v>
      </c>
      <c r="B150" t="inlineStr">
        <is>
          <t>Shai Gilgeous-Alexander</t>
        </is>
      </c>
      <c r="C150" t="inlineStr">
        <is>
          <t>2022-23 Panini Flawless Autographs Emerald '25 Black Box #FA-SGA Shai Gilgeous-Alexander Signed Card (#1/1) - Panini Encased</t>
        </is>
      </c>
      <c r="D150" t="inlineStr">
        <is>
          <t>2026 April Elite Auction</t>
        </is>
      </c>
      <c r="E150" s="2" t="n">
        <v>1700</v>
      </c>
      <c r="F150" s="2" t="n">
        <v>1393.44262295082</v>
      </c>
      <c r="G150" s="2" t="n">
        <v>1602.459016393442</v>
      </c>
      <c r="H150" t="inlineStr">
        <is>
          <t>2022-23 Panini Flawless Shai Gilgeous-Alexander Emerald Auto Black Box #1/1</t>
        </is>
      </c>
      <c r="I150" s="2" t="n">
        <v>1584.99</v>
      </c>
      <c r="J150" s="3" t="n">
        <v>8.5</v>
      </c>
      <c r="K150" s="4" t="n"/>
      <c r="L150" s="2">
        <f>IF(K150&lt;&gt;"",K150,I150)</f>
        <v/>
      </c>
      <c r="M150" s="2">
        <f>G150-L150</f>
        <v/>
      </c>
      <c r="N150" s="5">
        <f>IF(L150&gt;0,M150/L150,"")</f>
        <v/>
      </c>
    </row>
    <row r="151">
      <c r="A151" t="n">
        <v>150</v>
      </c>
      <c r="B151" t="inlineStr">
        <is>
          <t>Shai Gilgeous-Alexander</t>
        </is>
      </c>
      <c r="C151" t="inlineStr">
        <is>
          <t>2023-24 Panini Immaculate Collection Patch Autographs Gold #IPA-SGA Shai Gilgeous-Alexander Signed Patch Card (#02/10) - Jersey Number - PSA Authentic, PSA/DNA GEM MT 10</t>
        </is>
      </c>
      <c r="D151" t="inlineStr">
        <is>
          <t>2026 Weekly Auction Mar 24 - Apr 2</t>
        </is>
      </c>
      <c r="E151" s="2" t="n">
        <v>2511</v>
      </c>
      <c r="F151" s="2" t="n">
        <v>2058.196721311475</v>
      </c>
      <c r="G151" s="2" t="n">
        <v>2366.926229508197</v>
      </c>
      <c r="H151" t="inlineStr">
        <is>
          <t>2023-24 PANINI IMMACULATE SHAI GILGEOUS-ALEXANDER 2/10 Gold Patch Auto PSA10</t>
        </is>
      </c>
      <c r="I151" s="2" t="n">
        <v>3090</v>
      </c>
      <c r="J151" s="3" t="n">
        <v>9</v>
      </c>
      <c r="K151" s="4" t="n"/>
      <c r="L151" s="2">
        <f>IF(K151&lt;&gt;"",K151,I151)</f>
        <v/>
      </c>
      <c r="M151" s="2">
        <f>G151-L151</f>
        <v/>
      </c>
      <c r="N151" s="5">
        <f>IF(L151&gt;0,M151/L151,"")</f>
        <v/>
      </c>
    </row>
    <row r="152">
      <c r="A152" t="n">
        <v>151</v>
      </c>
      <c r="B152" t="inlineStr">
        <is>
          <t>Shai Gilgeous-Alexander</t>
        </is>
      </c>
      <c r="C152" t="inlineStr">
        <is>
          <t>2024-25 Panini Eminence Gilded Graphs Emerald #GG-SGA Shai Gilgeous-Alexander Signed Card (#1/3) - Panini Encased</t>
        </is>
      </c>
      <c r="D152" t="inlineStr">
        <is>
          <t>2026 March Elite Auction</t>
        </is>
      </c>
      <c r="E152" s="2" t="n">
        <v>1900</v>
      </c>
      <c r="F152" s="2" t="n">
        <v>1557.377049180328</v>
      </c>
      <c r="G152" s="2" t="n">
        <v>1790.983606557377</v>
      </c>
      <c r="H152" t="inlineStr">
        <is>
          <t>2024-25 Panini Eminence Gilded Emerald Shai Gilgeous-Alexander ON CARD AUTO 1/3</t>
        </is>
      </c>
      <c r="I152" s="2" t="n">
        <v>2768.95</v>
      </c>
      <c r="J152" s="7" t="n">
        <v>7.5</v>
      </c>
      <c r="K152" s="4" t="n"/>
      <c r="L152" s="2">
        <f>IF(K152&lt;&gt;"",K152,I152)</f>
        <v/>
      </c>
      <c r="M152" s="2">
        <f>G152-L152</f>
        <v/>
      </c>
      <c r="N152" s="5">
        <f>IF(L152&gt;0,M152/L152,"")</f>
        <v/>
      </c>
    </row>
    <row r="153">
      <c r="A153" t="n">
        <v>152</v>
      </c>
      <c r="B153" t="inlineStr">
        <is>
          <t>Shai Gilgeous-Alexander</t>
        </is>
      </c>
      <c r="C153" t="inlineStr">
        <is>
          <t>2024-25 Panini Eminence Thrilliant Signatures Emerald #TS-SGA Shai Gilgeous-Alexander Signed Card (#1/3) - Panini Encased</t>
        </is>
      </c>
      <c r="D153" t="inlineStr">
        <is>
          <t>2026 April Elite Auction</t>
        </is>
      </c>
      <c r="E153" s="2" t="n">
        <v>1375</v>
      </c>
      <c r="F153" s="2" t="n">
        <v>1127.049180327869</v>
      </c>
      <c r="G153" s="2" t="n">
        <v>1296.106557377049</v>
      </c>
      <c r="H153" t="inlineStr">
        <is>
          <t>2024-25 Panini Eminence Gilded Emerald Shai Gilgeous-Alexander ON CARD AUTO 1/3</t>
        </is>
      </c>
      <c r="I153" s="2" t="n">
        <v>2768.95</v>
      </c>
      <c r="J153" s="7" t="n">
        <v>7.5</v>
      </c>
      <c r="K153" s="4" t="n"/>
      <c r="L153" s="2">
        <f>IF(K153&lt;&gt;"",K153,I153)</f>
        <v/>
      </c>
      <c r="M153" s="2">
        <f>G153-L153</f>
        <v/>
      </c>
      <c r="N153" s="5">
        <f>IF(L153&gt;0,M153/L153,"")</f>
        <v/>
      </c>
    </row>
    <row r="154">
      <c r="A154" t="n">
        <v>153</v>
      </c>
      <c r="B154" t="inlineStr">
        <is>
          <t>Shai Gilgeous-Alexander</t>
        </is>
      </c>
      <c r="C154" t="inlineStr">
        <is>
          <t>2024-25 Panini Flawless Phrases Signatures #FPS-SGA Shai Gilgeous-Alexander Signed Card (#4/5) - Panini Encased</t>
        </is>
      </c>
      <c r="D154" t="inlineStr">
        <is>
          <t>2026 April Elite Auction</t>
        </is>
      </c>
      <c r="E154" s="2" t="n">
        <v>1900</v>
      </c>
      <c r="F154" s="2" t="n">
        <v>1557.377049180328</v>
      </c>
      <c r="G154" s="2" t="n">
        <v>1790.983606557377</v>
      </c>
      <c r="H154" t="inlineStr">
        <is>
          <t>2024-25 Panini Flawless Phrases SEALED Shai Gilgeous-Alexander ON CARD AUTO /5</t>
        </is>
      </c>
      <c r="I154" s="2" t="n">
        <v>2133.4</v>
      </c>
      <c r="J154" s="7" t="n">
        <v>7</v>
      </c>
      <c r="K154" s="4" t="n"/>
      <c r="L154" s="2">
        <f>IF(K154&lt;&gt;"",K154,I154)</f>
        <v/>
      </c>
      <c r="M154" s="2">
        <f>G154-L154</f>
        <v/>
      </c>
      <c r="N154" s="5">
        <f>IF(L154&gt;0,M154/L154,"")</f>
        <v/>
      </c>
    </row>
    <row r="155">
      <c r="A155" t="n">
        <v>154</v>
      </c>
      <c r="B155" t="inlineStr">
        <is>
          <t>Shai Gilgeous-Alexander</t>
        </is>
      </c>
      <c r="C155" t="inlineStr">
        <is>
          <t>2024-25 Panini National Treasures Viewpoint Signatures Emerald #VP-SGA Shai Gilgeous-Alexander Signed Card (#2/5) - Jersey Number - Panini Encased</t>
        </is>
      </c>
      <c r="D155" t="inlineStr">
        <is>
          <t>2026 Weekly Auction Mar 24 - Apr 2</t>
        </is>
      </c>
      <c r="E155" s="2" t="n">
        <v>1600</v>
      </c>
      <c r="F155" s="2" t="n">
        <v>1311.475409836066</v>
      </c>
      <c r="G155" s="2" t="n">
        <v>1508.196721311475</v>
      </c>
      <c r="H155" t="inlineStr">
        <is>
          <t>2024-25 National Treasures Shai Gilgeous-Alexander All-NBA Emerald Auto #2/5</t>
        </is>
      </c>
      <c r="I155" s="2" t="n">
        <v>2029.99</v>
      </c>
      <c r="J155" s="7" t="n">
        <v>7.5</v>
      </c>
      <c r="K155" s="4" t="n"/>
      <c r="L155" s="2">
        <f>IF(K155&lt;&gt;"",K155,I155)</f>
        <v/>
      </c>
      <c r="M155" s="2">
        <f>G155-L155</f>
        <v/>
      </c>
      <c r="N155" s="5">
        <f>IF(L155&gt;0,M155/L155,"")</f>
        <v/>
      </c>
    </row>
    <row r="156">
      <c r="A156" t="n">
        <v>155</v>
      </c>
      <c r="B156" t="inlineStr">
        <is>
          <t>Shaquille O'Neal</t>
        </is>
      </c>
      <c r="C156" t="inlineStr">
        <is>
          <t>2018-19 Panini National Treasures Lasting Legacies Super Prime #LL-SON Shaquille O'Neal Signed Patch Card (#1/1) - Panini Encased</t>
        </is>
      </c>
      <c r="D156" t="inlineStr">
        <is>
          <t>2026 Weekly Auction Mar 24 - Apr 2</t>
        </is>
      </c>
      <c r="E156" s="2" t="n">
        <v>4800</v>
      </c>
      <c r="F156" s="2" t="n">
        <v>3934.426229508197</v>
      </c>
      <c r="G156" s="2" t="n">
        <v>4524.590163934426</v>
      </c>
      <c r="H156" t="inlineStr">
        <is>
          <t>2018-19 Panini National Treasures Shaquille O’Neal SUN Logo Patch Auto 1/1 Suns</t>
        </is>
      </c>
      <c r="I156" s="2" t="n">
        <v>4440.86</v>
      </c>
      <c r="J156" s="3" t="n">
        <v>8</v>
      </c>
      <c r="K156" s="4" t="n"/>
      <c r="L156" s="2">
        <f>IF(K156&lt;&gt;"",K156,I156)</f>
        <v/>
      </c>
      <c r="M156" s="2">
        <f>G156-L156</f>
        <v/>
      </c>
      <c r="N156" s="5">
        <f>IF(L156&gt;0,M156/L156,"")</f>
        <v/>
      </c>
    </row>
    <row r="157">
      <c r="A157" t="n">
        <v>156</v>
      </c>
      <c r="B157" t="inlineStr">
        <is>
          <t>Shaquille O'Neal</t>
        </is>
      </c>
      <c r="C157" t="inlineStr">
        <is>
          <t>2023-24 Panini One And One Number Ones #ONE-SON Shaquille O'Neal Signed Card (#20/49) - Panini Encased</t>
        </is>
      </c>
      <c r="D157" t="inlineStr">
        <is>
          <t>2026 Weekly Auction Mar 3 - Mar 12</t>
        </is>
      </c>
      <c r="E157" s="2" t="n">
        <v>230</v>
      </c>
      <c r="F157" s="2" t="n">
        <v>188.5245901639344</v>
      </c>
      <c r="G157" s="2" t="n">
        <v>216.8032786885246</v>
      </c>
      <c r="H157" t="inlineStr">
        <is>
          <t>2023-24 Panini One And One Shaquille O'Neal #ONE-SON Number Ones Auto Magic /49</t>
        </is>
      </c>
      <c r="I157" s="2" t="n">
        <v>392.76</v>
      </c>
      <c r="J157" s="3" t="n">
        <v>12</v>
      </c>
      <c r="K157" s="4" t="n"/>
      <c r="L157" s="2">
        <f>IF(K157&lt;&gt;"",K157,I157)</f>
        <v/>
      </c>
      <c r="M157" s="2">
        <f>G157-L157</f>
        <v/>
      </c>
      <c r="N157" s="5">
        <f>IF(L157&gt;0,M157/L157,"")</f>
        <v/>
      </c>
    </row>
    <row r="158">
      <c r="A158" t="n">
        <v>157</v>
      </c>
      <c r="B158" t="inlineStr">
        <is>
          <t>Stephen Curry</t>
        </is>
      </c>
      <c r="C158" t="inlineStr">
        <is>
          <t>2009-10 Topps #321 Stephen Curry Rookie Card - PSA NM-MT 8</t>
        </is>
      </c>
      <c r="D158" t="inlineStr">
        <is>
          <t>2026 Weekly Auction Mar 24 - Apr 2</t>
        </is>
      </c>
      <c r="E158" s="2" t="n">
        <v>1553</v>
      </c>
      <c r="F158" s="2" t="n">
        <v>1272.950819672131</v>
      </c>
      <c r="G158" s="2" t="n">
        <v>1463.893442622951</v>
      </c>
      <c r="H158" t="inlineStr">
        <is>
          <t>STEPHEN CURRY 2009-10 TOPPS ROOKIE CARD #321 NM-MT PSA 8 WARRIORS RC</t>
        </is>
      </c>
      <c r="I158" s="2" t="n">
        <v>2408.1</v>
      </c>
      <c r="J158" s="3" t="n">
        <v>11</v>
      </c>
      <c r="K158" s="4" t="n"/>
      <c r="L158" s="2">
        <f>IF(K158&lt;&gt;"",K158,I158)</f>
        <v/>
      </c>
      <c r="M158" s="2">
        <f>G158-L158</f>
        <v/>
      </c>
      <c r="N158" s="5">
        <f>IF(L158&gt;0,M158/L158,"")</f>
        <v/>
      </c>
    </row>
    <row r="159">
      <c r="A159" t="n">
        <v>158</v>
      </c>
      <c r="B159" t="inlineStr">
        <is>
          <t>Stephen Curry</t>
        </is>
      </c>
      <c r="C159" t="inlineStr">
        <is>
          <t>2012-13 Panini Prestige True Colors Materials #25 Stephen Curry Relic Card - BGS MINT 9</t>
        </is>
      </c>
      <c r="D159" t="inlineStr">
        <is>
          <t>2026 Weekly Auction Mar 24 - Apr 2</t>
        </is>
      </c>
      <c r="E159" s="2" t="n">
        <v>85</v>
      </c>
      <c r="F159" s="2" t="n">
        <v>69.67213114754098</v>
      </c>
      <c r="G159" s="2" t="n">
        <v>80.12295081967213</v>
      </c>
      <c r="H159" t="inlineStr">
        <is>
          <t>2012-13 PANINI PRESTIGE TRUE COLORS MATERIALS #25 STEPHEN CURRY BGS 9</t>
        </is>
      </c>
      <c r="I159" s="2" t="n">
        <v>134.49</v>
      </c>
      <c r="J159" s="3" t="n">
        <v>8.5</v>
      </c>
      <c r="K159" s="4" t="n"/>
      <c r="L159" s="2">
        <f>IF(K159&lt;&gt;"",K159,I159)</f>
        <v/>
      </c>
      <c r="M159" s="2">
        <f>G159-L159</f>
        <v/>
      </c>
      <c r="N159" s="5">
        <f>IF(L159&gt;0,M159/L159,"")</f>
        <v/>
      </c>
    </row>
    <row r="160">
      <c r="A160" t="n">
        <v>159</v>
      </c>
      <c r="B160" t="inlineStr">
        <is>
          <t>Stephen Curry</t>
        </is>
      </c>
      <c r="C160" t="inlineStr">
        <is>
          <t>2015-16 Panini National Treasures Clutch Factor Jersey Autograph #CF-SCR Stephen Curry Signed Relic Card (#14/25) - PSA MINT 9 - Pop 4</t>
        </is>
      </c>
      <c r="D160" t="inlineStr">
        <is>
          <t>2026 Weekly Auction Mar 24 - Apr 2</t>
        </is>
      </c>
      <c r="E160" s="2" t="n">
        <v>1800</v>
      </c>
      <c r="F160" s="2" t="n">
        <v>1475.409836065574</v>
      </c>
      <c r="G160" s="2" t="n">
        <v>1696.72131147541</v>
      </c>
      <c r="H160" t="inlineStr">
        <is>
          <t>2015-16 National Treasures Stephen Curry Clutch Factor Patch Auto /25 PSA 9 Mint</t>
        </is>
      </c>
      <c r="I160" s="2" t="n">
        <v>2204.99</v>
      </c>
      <c r="J160" s="3" t="n">
        <v>8</v>
      </c>
      <c r="K160" s="4" t="n"/>
      <c r="L160" s="2">
        <f>IF(K160&lt;&gt;"",K160,I160)</f>
        <v/>
      </c>
      <c r="M160" s="2">
        <f>G160-L160</f>
        <v/>
      </c>
      <c r="N160" s="5">
        <f>IF(L160&gt;0,M160/L160,"")</f>
        <v/>
      </c>
    </row>
    <row r="161">
      <c r="A161" t="n">
        <v>160</v>
      </c>
      <c r="B161" t="inlineStr">
        <is>
          <t>Stephen Curry</t>
        </is>
      </c>
      <c r="C161" t="inlineStr">
        <is>
          <t>2018-19 Panini National Convention Gold VIP Memorabilia #64 Stephen Curry Patch Card (#3/5) - BGS NM-MT 8</t>
        </is>
      </c>
      <c r="D161" t="inlineStr">
        <is>
          <t>2026 Weekly Auction Mar 24 - Apr 2</t>
        </is>
      </c>
      <c r="E161" s="2" t="n">
        <v>145</v>
      </c>
      <c r="F161" s="2" t="n">
        <v>118.8524590163934</v>
      </c>
      <c r="G161" s="2" t="n">
        <v>136.6803278688525</v>
      </c>
      <c r="H161" t="inlineStr">
        <is>
          <t>Stephen Curry 2018 Panini National VIP Gold Patch Card #64 3/5 BGS 8 NM-MT</t>
        </is>
      </c>
      <c r="I161" s="2" t="n">
        <v>399.95</v>
      </c>
      <c r="J161" s="3" t="n">
        <v>8.5</v>
      </c>
      <c r="K161" s="4" t="n"/>
      <c r="L161" s="2">
        <f>IF(K161&lt;&gt;"",K161,I161)</f>
        <v/>
      </c>
      <c r="M161" s="2">
        <f>G161-L161</f>
        <v/>
      </c>
      <c r="N161" s="5">
        <f>IF(L161&gt;0,M161/L161,"")</f>
        <v/>
      </c>
    </row>
    <row r="162">
      <c r="A162" t="n">
        <v>161</v>
      </c>
      <c r="B162" t="inlineStr">
        <is>
          <t>Stephen Curry</t>
        </is>
      </c>
      <c r="C162" t="inlineStr">
        <is>
          <t>2018-19 Panini National Convention Gold VIP Prizm Cracked Ice #64 Stephen Curry (#48/50) - BGS GEM MINT 9.5</t>
        </is>
      </c>
      <c r="D162" t="inlineStr">
        <is>
          <t>2026 Weekly Auction Mar 24 - Apr 2</t>
        </is>
      </c>
      <c r="E162" s="2" t="n">
        <v>120</v>
      </c>
      <c r="F162" s="2" t="n">
        <v>98.36065573770492</v>
      </c>
      <c r="G162" s="2" t="n">
        <v>113.1147540983606</v>
      </c>
      <c r="H162" t="inlineStr">
        <is>
          <t>2018 PANINI NATIONAL VIP CRACKED ICE #64 STEPHEN CURRY 42/50 PSA 9</t>
        </is>
      </c>
      <c r="I162" s="2" t="n">
        <v>126.56</v>
      </c>
      <c r="J162" s="7" t="n">
        <v>7.5</v>
      </c>
      <c r="K162" s="4" t="n"/>
      <c r="L162" s="2">
        <f>IF(K162&lt;&gt;"",K162,I162)</f>
        <v/>
      </c>
      <c r="M162" s="2">
        <f>G162-L162</f>
        <v/>
      </c>
      <c r="N162" s="5">
        <f>IF(L162&gt;0,M162/L162,"")</f>
        <v/>
      </c>
    </row>
    <row r="163">
      <c r="A163" t="n">
        <v>162</v>
      </c>
      <c r="B163" t="inlineStr">
        <is>
          <t>Stephen Curry</t>
        </is>
      </c>
      <c r="C163" t="inlineStr">
        <is>
          <t>2018-19 Panini National VIP Cracked Ice #64 Stephen Curry (#42/50) - PSA MINT 9</t>
        </is>
      </c>
      <c r="D163" t="inlineStr">
        <is>
          <t>2026 Weekly Auction Mar 24 - Apr 2</t>
        </is>
      </c>
      <c r="E163" s="2" t="n">
        <v>85</v>
      </c>
      <c r="F163" s="2" t="n">
        <v>69.67213114754098</v>
      </c>
      <c r="G163" s="2" t="n">
        <v>80.12295081967213</v>
      </c>
      <c r="H163" t="inlineStr">
        <is>
          <t>2018 PANINI NATIONAL VIP CRACKED ICE #64 STEPHEN CURRY 42/50 PSA 9</t>
        </is>
      </c>
      <c r="I163" s="2" t="n">
        <v>126.56</v>
      </c>
      <c r="J163" s="3" t="n">
        <v>8</v>
      </c>
      <c r="K163" s="4" t="n"/>
      <c r="L163" s="2">
        <f>IF(K163&lt;&gt;"",K163,I163)</f>
        <v/>
      </c>
      <c r="M163" s="2">
        <f>G163-L163</f>
        <v/>
      </c>
      <c r="N163" s="5">
        <f>IF(L163&gt;0,M163/L163,"")</f>
        <v/>
      </c>
    </row>
    <row r="164">
      <c r="A164" t="n">
        <v>163</v>
      </c>
      <c r="B164" t="inlineStr">
        <is>
          <t>Stephen Curry</t>
        </is>
      </c>
      <c r="C164" t="inlineStr">
        <is>
          <t>2019-20 Panini Flawless Premium Ink #PI-SCY Stephen Curry Signed Card (#01/25) - PSA MINT 9, PSA/DNA GEM MT 10 - Pop 1</t>
        </is>
      </c>
      <c r="D164" t="inlineStr">
        <is>
          <t>2026 March Elite Auction</t>
        </is>
      </c>
      <c r="E164" s="2" t="n">
        <v>1800</v>
      </c>
      <c r="F164" s="2" t="n">
        <v>1475.409836065574</v>
      </c>
      <c r="G164" s="2" t="n">
        <v>1696.72131147541</v>
      </c>
      <c r="H164" t="inlineStr">
        <is>
          <t>2019-20 Panini One And One Stephen Curry First Team Signatures Auto /25 BGS 9/10</t>
        </is>
      </c>
      <c r="I164" s="2" t="n">
        <v>1753.98</v>
      </c>
      <c r="J164" s="7" t="n">
        <v>5</v>
      </c>
      <c r="K164" s="4" t="n"/>
      <c r="L164" s="2">
        <f>IF(K164&lt;&gt;"",K164,I164)</f>
        <v/>
      </c>
      <c r="M164" s="2">
        <f>G164-L164</f>
        <v/>
      </c>
      <c r="N164" s="5">
        <f>IF(L164&gt;0,M164/L164,"")</f>
        <v/>
      </c>
    </row>
    <row r="165">
      <c r="A165" t="n">
        <v>164</v>
      </c>
      <c r="B165" t="inlineStr">
        <is>
          <t>Stephen Curry</t>
        </is>
      </c>
      <c r="C165" t="inlineStr">
        <is>
          <t>2019-20 Panini One and One First-Team Signatures #FT-SCY Stephen Curry Signed Card (#08/25) - BGS MINT 9, Beckett 10 - Pop 3</t>
        </is>
      </c>
      <c r="D165" t="inlineStr">
        <is>
          <t>2026 Weekly Auction Mar 24 - Apr 2</t>
        </is>
      </c>
      <c r="E165" s="2" t="n">
        <v>976</v>
      </c>
      <c r="F165" s="2" t="n">
        <v>800</v>
      </c>
      <c r="G165" s="2" t="n">
        <v>919.9999999999999</v>
      </c>
      <c r="H165" t="inlineStr">
        <is>
          <t>2019-20 Panini One And One Stephen Curry First Team Signatures Auto /25 BGS 9/10</t>
        </is>
      </c>
      <c r="I165" s="2" t="n">
        <v>1753.98</v>
      </c>
      <c r="J165" s="7" t="n">
        <v>7.5</v>
      </c>
      <c r="K165" s="4" t="n"/>
      <c r="L165" s="2">
        <f>IF(K165&lt;&gt;"",K165,I165)</f>
        <v/>
      </c>
      <c r="M165" s="2">
        <f>G165-L165</f>
        <v/>
      </c>
      <c r="N165" s="5">
        <f>IF(L165&gt;0,M165/L165,"")</f>
        <v/>
      </c>
    </row>
    <row r="166">
      <c r="A166" t="n">
        <v>165</v>
      </c>
      <c r="B166" t="inlineStr">
        <is>
          <t>Stephen Curry</t>
        </is>
      </c>
      <c r="C166" t="inlineStr">
        <is>
          <t>2019-20 Panini Prizm Sensational Swatches Prizms Orange Ice #SS-SCU Stephen Curry Signed Relic Card - BGS Authentic Sticker Autograph</t>
        </is>
      </c>
      <c r="D166" t="inlineStr">
        <is>
          <t>2026 Weekly Auction Mar 24 - Apr 2</t>
        </is>
      </c>
      <c r="E166" s="2" t="n">
        <v>422</v>
      </c>
      <c r="F166" s="2" t="n">
        <v>345.9016393442623</v>
      </c>
      <c r="G166" s="2" t="n">
        <v>397.7868852459017</v>
      </c>
      <c r="H166" t="inlineStr">
        <is>
          <t>2019-20 Panini One And One Stephen Curry First Team Signatures Auto /25 BGS 9/10</t>
        </is>
      </c>
      <c r="I166" s="2" t="n">
        <v>1753.98</v>
      </c>
      <c r="J166" s="6" t="n">
        <v>4</v>
      </c>
      <c r="K166" s="4" t="n"/>
      <c r="L166" s="2">
        <f>IF(K166&lt;&gt;"",K166,I166)</f>
        <v/>
      </c>
      <c r="M166" s="2">
        <f>G166-L166</f>
        <v/>
      </c>
      <c r="N166" s="5">
        <f>IF(L166&gt;0,M166/L166,"")</f>
        <v/>
      </c>
    </row>
    <row r="167">
      <c r="A167" t="n">
        <v>166</v>
      </c>
      <c r="B167" t="inlineStr">
        <is>
          <t>Stephen Curry</t>
        </is>
      </c>
      <c r="C167" t="inlineStr">
        <is>
          <t>2021-22 Panini Flawless 75th Team Autographs '24 Black Box #75A-SCU Stephen Curry Signed Card (#1/1) - Panini Encased</t>
        </is>
      </c>
      <c r="D167" t="inlineStr">
        <is>
          <t>2026 April Elite Auction</t>
        </is>
      </c>
      <c r="E167" s="2" t="n">
        <v>2522</v>
      </c>
      <c r="F167" s="2" t="n">
        <v>2067.213114754099</v>
      </c>
      <c r="G167" s="2" t="n">
        <v>2377.295081967213</v>
      </c>
      <c r="H167" t="inlineStr">
        <is>
          <t>2021-22 Panini Flawless Stephen Curry  Black Box 2024 1/1 sealed 75th auto</t>
        </is>
      </c>
      <c r="I167" s="2" t="n">
        <v>4765</v>
      </c>
      <c r="J167" s="3" t="n">
        <v>8</v>
      </c>
      <c r="K167" s="4" t="n"/>
      <c r="L167" s="2">
        <f>IF(K167&lt;&gt;"",K167,I167)</f>
        <v/>
      </c>
      <c r="M167" s="2">
        <f>G167-L167</f>
        <v/>
      </c>
      <c r="N167" s="5">
        <f>IF(L167&gt;0,M167/L167,"")</f>
        <v/>
      </c>
    </row>
    <row r="168">
      <c r="A168" t="n">
        <v>167</v>
      </c>
      <c r="B168" t="inlineStr">
        <is>
          <t>Stephen Curry</t>
        </is>
      </c>
      <c r="C168" t="inlineStr">
        <is>
          <t>2021-22 Panini Flawless Update '20-21 Flawless USA Autographs Amethyst #USA-CUR Stephen Curry Signed Card (#2/3) - Panini Encased</t>
        </is>
      </c>
      <c r="D168" t="inlineStr">
        <is>
          <t>2026 April Elite Auction</t>
        </is>
      </c>
      <c r="E168" s="2" t="n">
        <v>2500</v>
      </c>
      <c r="F168" s="2" t="n">
        <v>2049.180327868853</v>
      </c>
      <c r="G168" s="2" t="n">
        <v>2356.55737704918</v>
      </c>
      <c r="H168" t="inlineStr">
        <is>
          <t>2020-21 Panini Flawless Stephen Curry #USA-CUR Amethyst USA Basketball Auto /3</t>
        </is>
      </c>
      <c r="I168" s="2" t="n">
        <v>3289.99</v>
      </c>
      <c r="J168" s="3" t="n">
        <v>9.5</v>
      </c>
      <c r="K168" s="4" t="n"/>
      <c r="L168" s="2">
        <f>IF(K168&lt;&gt;"",K168,I168)</f>
        <v/>
      </c>
      <c r="M168" s="2">
        <f>G168-L168</f>
        <v/>
      </c>
      <c r="N168" s="5">
        <f>IF(L168&gt;0,M168/L168,"")</f>
        <v/>
      </c>
    </row>
    <row r="169">
      <c r="A169" t="n">
        <v>168</v>
      </c>
      <c r="B169" t="inlineStr">
        <is>
          <t>Stephen Curry</t>
        </is>
      </c>
      <c r="C169" t="inlineStr">
        <is>
          <t>2021-22 Panini National Treasures Clutch Factor Signatures #CF-SCU Stephen Curry Signed Relic Card (#09/25) - Panini Encased</t>
        </is>
      </c>
      <c r="D169" t="inlineStr">
        <is>
          <t>2026 March Elite Auction</t>
        </is>
      </c>
      <c r="E169" s="2" t="n">
        <v>1500</v>
      </c>
      <c r="F169" s="2" t="n">
        <v>1229.508196721312</v>
      </c>
      <c r="G169" s="2" t="n">
        <v>1413.934426229508</v>
      </c>
      <c r="H169" t="inlineStr">
        <is>
          <t>STEPHEN CURRY 2021-22 PANINI NATIONAL TREASURES CLUTCH FACTOR AUTO JERSEY 9/25</t>
        </is>
      </c>
      <c r="I169" s="2" t="n">
        <v>2050</v>
      </c>
      <c r="J169" s="7" t="n">
        <v>7</v>
      </c>
      <c r="K169" s="4" t="n"/>
      <c r="L169" s="2">
        <f>IF(K169&lt;&gt;"",K169,I169)</f>
        <v/>
      </c>
      <c r="M169" s="2">
        <f>G169-L169</f>
        <v/>
      </c>
      <c r="N169" s="5">
        <f>IF(L169&gt;0,M169/L169,"")</f>
        <v/>
      </c>
    </row>
    <row r="170">
      <c r="A170" t="n">
        <v>169</v>
      </c>
      <c r="B170" t="inlineStr">
        <is>
          <t>Stephen Curry</t>
        </is>
      </c>
      <c r="C170" t="inlineStr">
        <is>
          <t>2021-22 Panini Spectra Universal Die-Cut #30 Stephen Curry (#3/8) - PSA GEM MT 10</t>
        </is>
      </c>
      <c r="D170" t="inlineStr">
        <is>
          <t>2026 Weekly Auction Mar 3 - Mar 12</t>
        </is>
      </c>
      <c r="E170" s="2" t="n">
        <v>601</v>
      </c>
      <c r="F170" s="2" t="n">
        <v>492.6229508196722</v>
      </c>
      <c r="G170" s="2" t="n">
        <v>566.516393442623</v>
      </c>
      <c r="H170" t="inlineStr">
        <is>
          <t>2021-22 Spectra Universal Die Cut /8 Stephen Curry PSA10</t>
        </is>
      </c>
      <c r="I170" s="2" t="n">
        <v>1611.19</v>
      </c>
      <c r="J170" s="7" t="n">
        <v>7.5</v>
      </c>
      <c r="K170" s="4" t="n"/>
      <c r="L170" s="2">
        <f>IF(K170&lt;&gt;"",K170,I170)</f>
        <v/>
      </c>
      <c r="M170" s="2">
        <f>G170-L170</f>
        <v/>
      </c>
      <c r="N170" s="5">
        <f>IF(L170&gt;0,M170/L170,"")</f>
        <v/>
      </c>
    </row>
    <row r="171">
      <c r="A171" t="n">
        <v>170</v>
      </c>
      <c r="B171" t="inlineStr">
        <is>
          <t>Stephen Curry</t>
        </is>
      </c>
      <c r="C171" t="inlineStr">
        <is>
          <t>2022 Leaf Decadence Octet Autographs #O-03 Curry/Iverson/Johnson/Lillard/West/Frazier/Dantley/Erving Multi-Signed Card (#1/4) - Leaf Encased</t>
        </is>
      </c>
      <c r="D171" t="inlineStr">
        <is>
          <t>2026 Weekly Auction Mar 10 - Mar 19</t>
        </is>
      </c>
      <c r="E171" s="2" t="n">
        <v>750</v>
      </c>
      <c r="F171" s="2" t="n">
        <v>614.7540983606558</v>
      </c>
      <c r="G171" s="2" t="n">
        <v>706.9672131147541</v>
      </c>
      <c r="H171" t="inlineStr">
        <is>
          <t>CURRY IVERSON MAGIC ERVING LILLARD WEST - 2022 Leaf Decadence OCTET 8 AUTO /4</t>
        </is>
      </c>
      <c r="I171" s="2" t="n">
        <v>885</v>
      </c>
      <c r="J171" s="7" t="n">
        <v>5.5</v>
      </c>
      <c r="K171" s="4" t="n"/>
      <c r="L171" s="2">
        <f>IF(K171&lt;&gt;"",K171,I171)</f>
        <v/>
      </c>
      <c r="M171" s="2">
        <f>G171-L171</f>
        <v/>
      </c>
      <c r="N171" s="5">
        <f>IF(L171&gt;0,M171/L171,"")</f>
        <v/>
      </c>
    </row>
    <row r="172">
      <c r="A172" t="n">
        <v>171</v>
      </c>
      <c r="B172" t="inlineStr">
        <is>
          <t>Stephen Curry</t>
        </is>
      </c>
      <c r="C172" t="inlineStr">
        <is>
          <t>2023-24 Panini Flawless Scoring Title Autographs #FST-SCU Stephen Curry Signed Card (#14/25) - PSA MINT 9, PSA/DNA GEM MT 10</t>
        </is>
      </c>
      <c r="D172" t="inlineStr">
        <is>
          <t>2026 March Elite Auction</t>
        </is>
      </c>
      <c r="E172" s="2" t="n">
        <v>2188</v>
      </c>
      <c r="F172" s="2" t="n">
        <v>1793.44262295082</v>
      </c>
      <c r="G172" s="2" t="n">
        <v>2062.459016393443</v>
      </c>
      <c r="H172" t="inlineStr">
        <is>
          <t>2023 Panini Flawless Stephen Curry Scoring Title Auto #FST-SCU /25 PSA 9/10</t>
        </is>
      </c>
      <c r="I172" s="2" t="n">
        <v>4420</v>
      </c>
      <c r="J172" s="3" t="n">
        <v>10</v>
      </c>
      <c r="K172" s="4" t="n"/>
      <c r="L172" s="2">
        <f>IF(K172&lt;&gt;"",K172,I172)</f>
        <v/>
      </c>
      <c r="M172" s="2">
        <f>G172-L172</f>
        <v/>
      </c>
      <c r="N172" s="5">
        <f>IF(L172&gt;0,M172/L172,"")</f>
        <v/>
      </c>
    </row>
    <row r="173">
      <c r="A173" t="n">
        <v>172</v>
      </c>
      <c r="B173" t="inlineStr">
        <is>
          <t>Stephen Curry</t>
        </is>
      </c>
      <c r="C173" t="inlineStr">
        <is>
          <t>2023-24 Panini Prizm Kaleidoscopic Gold Prizm #21 Stephen Curry (#04/10) - PSA GEM MT 10 - Pop 4</t>
        </is>
      </c>
      <c r="D173" t="inlineStr">
        <is>
          <t>2026 Weekly Auction Mar 24 - Apr 2</t>
        </is>
      </c>
      <c r="E173" s="2" t="n">
        <v>1700</v>
      </c>
      <c r="F173" s="2" t="n">
        <v>1393.44262295082</v>
      </c>
      <c r="G173" s="2" t="n">
        <v>1602.459016393442</v>
      </c>
      <c r="H173" t="inlineStr">
        <is>
          <t>2023-24 Prizm Stephen Curry Kaleidoscopic Prizm Gold #4/10 Warriors PSA 10</t>
        </is>
      </c>
      <c r="I173" s="2" t="n">
        <v>2079.99</v>
      </c>
      <c r="J173" s="3" t="n">
        <v>8.5</v>
      </c>
      <c r="K173" s="4" t="n"/>
      <c r="L173" s="2">
        <f>IF(K173&lt;&gt;"",K173,I173)</f>
        <v/>
      </c>
      <c r="M173" s="2">
        <f>G173-L173</f>
        <v/>
      </c>
      <c r="N173" s="5">
        <f>IF(L173&gt;0,M173/L173,"")</f>
        <v/>
      </c>
    </row>
    <row r="174">
      <c r="A174" t="n">
        <v>173</v>
      </c>
      <c r="B174" t="inlineStr">
        <is>
          <t>Stephen Curry</t>
        </is>
      </c>
      <c r="C174" t="inlineStr">
        <is>
          <t>2023-24 Topps Finest Masters Autograph Red/Black Vapor Geometric Refractor #MA-SC Stephen Curry Signed Card (#01/10) - Topps Sealed</t>
        </is>
      </c>
      <c r="D174" t="inlineStr">
        <is>
          <t>2026 April Elite Auction</t>
        </is>
      </c>
      <c r="E174" s="2" t="n">
        <v>1000</v>
      </c>
      <c r="F174" s="2" t="n">
        <v>819.672131147541</v>
      </c>
      <c r="G174" s="2" t="n">
        <v>942.622950819672</v>
      </c>
      <c r="H174" t="inlineStr">
        <is>
          <t>2023/24 TOPPS FINEST MASTERS STEPHEN CURRY ON CARD AUTO RED VAPOR 01/10  🦄</t>
        </is>
      </c>
      <c r="I174" s="2" t="n">
        <v>1399.95</v>
      </c>
      <c r="J174" s="7" t="n">
        <v>5.5</v>
      </c>
      <c r="K174" s="4" t="n"/>
      <c r="L174" s="2">
        <f>IF(K174&lt;&gt;"",K174,I174)</f>
        <v/>
      </c>
      <c r="M174" s="2">
        <f>G174-L174</f>
        <v/>
      </c>
      <c r="N174" s="5">
        <f>IF(L174&gt;0,M174/L174,"")</f>
        <v/>
      </c>
    </row>
    <row r="175">
      <c r="A175" t="n">
        <v>174</v>
      </c>
      <c r="B175" t="inlineStr">
        <is>
          <t>Stephen Curry</t>
        </is>
      </c>
      <c r="C175" t="inlineStr">
        <is>
          <t>2024-25 Topps Regalia Relic Signatures #RRS-SC Stephen Curry Signed Game-Used Patch Card (#03/15) - Topps Encased</t>
        </is>
      </c>
      <c r="D175" t="inlineStr">
        <is>
          <t>2026 Weekly Auction Mar 24 - Apr 2</t>
        </is>
      </c>
      <c r="E175" s="2" t="n">
        <v>960</v>
      </c>
      <c r="F175" s="2" t="n">
        <v>786.8852459016393</v>
      </c>
      <c r="G175" s="2" t="n">
        <v>904.9180327868852</v>
      </c>
      <c r="H175" t="inlineStr">
        <is>
          <t>2024-25 Topps Chrome Stephen Curry Green Refractor /99 #187 Warriors🔥</t>
        </is>
      </c>
      <c r="I175" s="2" t="n">
        <v>51.5</v>
      </c>
      <c r="J175" s="7" t="n">
        <v>5</v>
      </c>
      <c r="K175" s="4" t="n"/>
      <c r="L175" s="2">
        <f>IF(K175&lt;&gt;"",K175,I175)</f>
        <v/>
      </c>
      <c r="M175" s="2">
        <f>G175-L175</f>
        <v/>
      </c>
      <c r="N175" s="5">
        <f>IF(L175&gt;0,M175/L175,"")</f>
        <v/>
      </c>
    </row>
    <row r="176">
      <c r="A176" t="n">
        <v>175</v>
      </c>
      <c r="B176" t="inlineStr">
        <is>
          <t>Stephen Curry</t>
        </is>
      </c>
      <c r="C176" t="inlineStr">
        <is>
          <t>Feb. 27, 2013 - Stephen Curry Signed Full Ticket - Golden State Warriors vs. New York Knicks - Season Highs of 54 Points and 11 3-Pointers - PSA Authentic</t>
        </is>
      </c>
      <c r="D176" t="inlineStr">
        <is>
          <t>2026 April Elite Auction</t>
        </is>
      </c>
      <c r="E176" s="2" t="n">
        <v>460</v>
      </c>
      <c r="F176" s="2" t="n">
        <v>377.0491803278688</v>
      </c>
      <c r="G176" s="2" t="n">
        <v>433.6065573770491</v>
      </c>
      <c r="H176" t="inlineStr">
        <is>
          <t>Stephen Curry Signed 54 Points + 11 Threes MSG Ticket Stub PSA AUTO 2/27/2013</t>
        </is>
      </c>
      <c r="I176" s="2" t="n">
        <v>1332.95</v>
      </c>
      <c r="J176" s="6" t="n">
        <v>4</v>
      </c>
      <c r="K176" s="4" t="n"/>
      <c r="L176" s="2">
        <f>IF(K176&lt;&gt;"",K176,I176)</f>
        <v/>
      </c>
      <c r="M176" s="2">
        <f>G176-L176</f>
        <v/>
      </c>
      <c r="N176" s="5">
        <f>IF(L176&gt;0,M176/L176,"")</f>
        <v/>
      </c>
    </row>
    <row r="177">
      <c r="A177" t="n">
        <v>176</v>
      </c>
      <c r="B177" t="inlineStr">
        <is>
          <t>Tyrese Maxey</t>
        </is>
      </c>
      <c r="C177" t="inlineStr">
        <is>
          <t>2020-21 Panini Absolute Tools of the Trade 3 Swatch Signature #TT3-TMA Tyrese Maxey Signed Relic Rookie Card (#184/199) - PSA NM-MT 8 - Pop 2</t>
        </is>
      </c>
      <c r="D177" t="inlineStr">
        <is>
          <t>2026 Weekly Auction Mar 24 - Apr 2</t>
        </is>
      </c>
      <c r="E177" s="2" t="n">
        <v>278</v>
      </c>
      <c r="F177" s="2" t="n">
        <v>227.8688524590164</v>
      </c>
      <c r="G177" s="2" t="n">
        <v>262.0491803278688</v>
      </c>
      <c r="H177" t="inlineStr">
        <is>
          <t>2020-21 Panini Origins Gold Tyrese Maxey Rookie PATCH AUTO 10 76ERS PSA 10 Pop 1</t>
        </is>
      </c>
      <c r="I177" s="2" t="n">
        <v>1755.15</v>
      </c>
      <c r="J177" s="6" t="n">
        <v>4</v>
      </c>
      <c r="K177" s="4" t="n"/>
      <c r="L177" s="2">
        <f>IF(K177&lt;&gt;"",K177,I177)</f>
        <v/>
      </c>
      <c r="M177" s="2">
        <f>G177-L177</f>
        <v/>
      </c>
      <c r="N177" s="5">
        <f>IF(L177&gt;0,M177/L177,"")</f>
        <v/>
      </c>
    </row>
    <row r="178">
      <c r="A178" t="n">
        <v>177</v>
      </c>
      <c r="B178" t="inlineStr">
        <is>
          <t>Tyrese Maxey</t>
        </is>
      </c>
      <c r="C178" t="inlineStr">
        <is>
          <t>2020-21 Panini Origins Rookie Jersey Autograph Gold #RJA-MAX Tyrese Maxey Signed Patch Rookie Card (#06/10) - PSA GEM MT 10 - Pop 1</t>
        </is>
      </c>
      <c r="D178" t="inlineStr">
        <is>
          <t>2026 April Elite Auction</t>
        </is>
      </c>
      <c r="E178" s="2" t="n">
        <v>955</v>
      </c>
      <c r="F178" s="2" t="n">
        <v>782.7868852459017</v>
      </c>
      <c r="G178" s="2" t="n">
        <v>900.2049180327868</v>
      </c>
      <c r="H178" t="inlineStr">
        <is>
          <t>2020-21 Panini Origins Gold Tyrese Maxey Rookie PATCH AUTO 10 76ERS PSA 10 Pop 1</t>
        </is>
      </c>
      <c r="I178" s="2" t="n">
        <v>1755.15</v>
      </c>
      <c r="J178" s="7" t="n">
        <v>7.5</v>
      </c>
      <c r="K178" s="4" t="n"/>
      <c r="L178" s="2">
        <f>IF(K178&lt;&gt;"",K178,I178)</f>
        <v/>
      </c>
      <c r="M178" s="2">
        <f>G178-L178</f>
        <v/>
      </c>
      <c r="N178" s="5">
        <f>IF(L178&gt;0,M178/L178,"")</f>
        <v/>
      </c>
    </row>
    <row r="179">
      <c r="A179" t="n">
        <v>178</v>
      </c>
      <c r="B179" t="inlineStr">
        <is>
          <t>Tyrese Maxey</t>
        </is>
      </c>
      <c r="C179" t="inlineStr">
        <is>
          <t>2023-24 Topps Chrome Sapphire Autograph Red Refractor #CG-TM Tyrese Maxey Signed Card (#5/5) - PSA GEM MT 10 - Pop 1</t>
        </is>
      </c>
      <c r="D179" t="inlineStr">
        <is>
          <t>2026 April Elite Auction</t>
        </is>
      </c>
      <c r="E179" s="2" t="n">
        <v>551</v>
      </c>
      <c r="F179" s="2" t="n">
        <v>451.6393442622951</v>
      </c>
      <c r="G179" s="2" t="n">
        <v>519.3852459016393</v>
      </c>
      <c r="H179" t="inlineStr">
        <is>
          <t>2023 Topps Chrome Sapphire Tyrese Maxey Auto Red /5 PSA 10</t>
        </is>
      </c>
      <c r="I179" s="2" t="n">
        <v>405.99</v>
      </c>
      <c r="J179" s="7" t="n">
        <v>6</v>
      </c>
      <c r="K179" s="4" t="n"/>
      <c r="L179" s="2">
        <f>IF(K179&lt;&gt;"",K179,I179)</f>
        <v/>
      </c>
      <c r="M179" s="2">
        <f>G179-L179</f>
        <v/>
      </c>
      <c r="N179" s="5">
        <f>IF(L179&gt;0,M179/L179,"")</f>
        <v/>
      </c>
    </row>
    <row r="180">
      <c r="A180" t="n">
        <v>179</v>
      </c>
      <c r="B180" t="inlineStr">
        <is>
          <t>Tyrese Maxey</t>
        </is>
      </c>
      <c r="C180" t="inlineStr">
        <is>
          <t>2024-25 Panini Silhouette NBA Gear Holo Gold #NG-MAX Tyrese Maxey Patch Card (#10/10) - BGS NM-MT 8</t>
        </is>
      </c>
      <c r="D180" t="inlineStr">
        <is>
          <t>2026 Weekly Auction Mar 24 - Apr 2</t>
        </is>
      </c>
      <c r="E180" s="2" t="n">
        <v>377</v>
      </c>
      <c r="F180" s="2" t="n">
        <v>309.016393442623</v>
      </c>
      <c r="G180" s="2" t="n">
        <v>355.3688524590164</v>
      </c>
      <c r="H180" t="inlineStr">
        <is>
          <t>2024-25 Panini Donruss Optic Tyrese Maxey Elite Series Auto Gold /10</t>
        </is>
      </c>
      <c r="I180" s="2" t="n">
        <v>176.49</v>
      </c>
      <c r="J180" s="7" t="n">
        <v>5.5</v>
      </c>
      <c r="K180" s="4" t="n"/>
      <c r="L180" s="2">
        <f>IF(K180&lt;&gt;"",K180,I180)</f>
        <v/>
      </c>
      <c r="M180" s="2">
        <f>G180-L180</f>
        <v/>
      </c>
      <c r="N180" s="5">
        <f>IF(L180&gt;0,M180/L180,"")</f>
        <v/>
      </c>
    </row>
    <row r="181">
      <c r="A181" t="n">
        <v>180</v>
      </c>
      <c r="B181" t="inlineStr">
        <is>
          <t>VJ Edgecombe</t>
        </is>
      </c>
      <c r="C181" t="inlineStr">
        <is>
          <t>2024-25 Panini Instant NIL Autographs #VJED-1 VJ Edgecombe Signed Rookie Card (#08/99) - Panini Encased</t>
        </is>
      </c>
      <c r="D181" t="inlineStr">
        <is>
          <t>2026 Weekly Auction Mar 24 - Apr 2</t>
        </is>
      </c>
      <c r="E181" s="2" t="n">
        <v>325</v>
      </c>
      <c r="F181" s="2" t="n">
        <v>266.3934426229508</v>
      </c>
      <c r="G181" s="2" t="n">
        <v>306.3524590163934</v>
      </c>
      <c r="H181" t="inlineStr">
        <is>
          <t>2024-25 Panini Instant NCAA NIL VJ Edgecombe Rookie RC Card Silver Auto SP 8/99</t>
        </is>
      </c>
      <c r="I181" s="2" t="n">
        <v>699.99</v>
      </c>
      <c r="J181" s="7" t="n">
        <v>6</v>
      </c>
      <c r="K181" s="4" t="n"/>
      <c r="L181" s="2">
        <f>IF(K181&lt;&gt;"",K181,I181)</f>
        <v/>
      </c>
      <c r="M181" s="2">
        <f>G181-L181</f>
        <v/>
      </c>
      <c r="N181" s="5">
        <f>IF(L181&gt;0,M181/L181,"")</f>
        <v/>
      </c>
    </row>
    <row r="182">
      <c r="A182" t="n">
        <v>181</v>
      </c>
      <c r="B182" t="inlineStr">
        <is>
          <t>VJ Edgecombe</t>
        </is>
      </c>
      <c r="C182" t="inlineStr">
        <is>
          <t>2024-25 Panini Prizm Draft Picks Penmanship Blue Ice Prizm #P-VJE V.J. Edgecombe Signed Rookie Card (#26/75) - SGC GM 10, SGC 10</t>
        </is>
      </c>
      <c r="D182" t="inlineStr">
        <is>
          <t>2026 Weekly Auction Mar 24 - Apr 2</t>
        </is>
      </c>
      <c r="E182" s="2" t="n">
        <v>425</v>
      </c>
      <c r="F182" s="2" t="n">
        <v>348.3606557377049</v>
      </c>
      <c r="G182" s="2" t="n">
        <v>400.6147540983606</v>
      </c>
      <c r="H182" t="inlineStr">
        <is>
          <t>VJ Edgecombe  Rookie Auto 2024-25 Panini PRIZM /75 penmanship SGC 10 Pop 1 76ers</t>
        </is>
      </c>
      <c r="I182" s="2" t="n">
        <v>1184.71</v>
      </c>
      <c r="J182" s="3" t="n">
        <v>8</v>
      </c>
      <c r="K182" s="4" t="n"/>
      <c r="L182" s="2">
        <f>IF(K182&lt;&gt;"",K182,I182)</f>
        <v/>
      </c>
      <c r="M182" s="2">
        <f>G182-L182</f>
        <v/>
      </c>
      <c r="N182" s="5">
        <f>IF(L182&gt;0,M182/L182,"")</f>
        <v/>
      </c>
    </row>
    <row r="183">
      <c r="A183" t="n">
        <v>182</v>
      </c>
      <c r="B183" t="inlineStr">
        <is>
          <t>VJ Edgecombe</t>
        </is>
      </c>
      <c r="C183" t="inlineStr">
        <is>
          <t>2025-26 Panini Instant Autograph #1 VJ Edgecombe Signed Rookie Card (#61/99) - Panini Encased</t>
        </is>
      </c>
      <c r="D183" t="inlineStr">
        <is>
          <t>2026 Weekly Auction Apr 21 - Apr 30</t>
        </is>
      </c>
      <c r="E183" s="2" t="n">
        <v>340</v>
      </c>
      <c r="F183" s="2" t="n">
        <v>278.6885245901639</v>
      </c>
      <c r="G183" s="2" t="n">
        <v>320.4918032786885</v>
      </c>
      <c r="H183" t="inlineStr">
        <is>
          <t>2025-26 Panini Instant #1 VJ Edgecombe Nba 76ers Rookie Debut Auto To /99 SP</t>
        </is>
      </c>
      <c r="I183" s="2" t="n">
        <v>875</v>
      </c>
      <c r="J183" s="7" t="n">
        <v>6</v>
      </c>
      <c r="K183" s="4" t="n"/>
      <c r="L183" s="2">
        <f>IF(K183&lt;&gt;"",K183,I183)</f>
        <v/>
      </c>
      <c r="M183" s="2">
        <f>G183-L183</f>
        <v/>
      </c>
      <c r="N183" s="5">
        <f>IF(L183&gt;0,M183/L183,"")</f>
        <v/>
      </c>
    </row>
    <row r="184">
      <c r="A184" t="n">
        <v>183</v>
      </c>
      <c r="B184" t="inlineStr">
        <is>
          <t>VJ Edgecombe</t>
        </is>
      </c>
      <c r="C184" t="inlineStr">
        <is>
          <t>2025-26 Panini Instant Autograph #1 VJ Edgecombe Signed Rookie Card (#69/99) - Panini Encased</t>
        </is>
      </c>
      <c r="D184" t="inlineStr">
        <is>
          <t>2026 Weekly Auction Apr 28 - May 7</t>
        </is>
      </c>
      <c r="E184" s="2" t="n">
        <v>375</v>
      </c>
      <c r="F184" s="2" t="n">
        <v>307.3770491803279</v>
      </c>
      <c r="G184" s="2" t="n">
        <v>353.4836065573771</v>
      </c>
      <c r="H184" t="inlineStr">
        <is>
          <t>VJ Edgecombe 2025 Panini Instant Off &amp; Running Rookie Auto 76ers RC # 69/99</t>
        </is>
      </c>
      <c r="I184" s="2" t="n">
        <v>679</v>
      </c>
      <c r="J184" s="3" t="n">
        <v>8</v>
      </c>
      <c r="K184" s="4" t="n"/>
      <c r="L184" s="2">
        <f>IF(K184&lt;&gt;"",K184,I184)</f>
        <v/>
      </c>
      <c r="M184" s="2">
        <f>G184-L184</f>
        <v/>
      </c>
      <c r="N184" s="5">
        <f>IF(L184&gt;0,M184/L184,"")</f>
        <v/>
      </c>
    </row>
    <row r="185">
      <c r="A185" t="n">
        <v>184</v>
      </c>
      <c r="B185" t="inlineStr">
        <is>
          <t>VJ Edgecombe</t>
        </is>
      </c>
      <c r="C185" t="inlineStr">
        <is>
          <t>2025-26 Topps Rise To Stardom Black Rainbow #RTS-3 VJ Edgecombe Rookie Card (#01/10) - PSA NM-MT 8</t>
        </is>
      </c>
      <c r="D185" t="inlineStr">
        <is>
          <t>2026 Weekly Auction Mar 3 - Mar 12</t>
        </is>
      </c>
      <c r="E185" s="2" t="n">
        <v>130</v>
      </c>
      <c r="F185" s="2" t="n">
        <v>106.5573770491803</v>
      </c>
      <c r="G185" s="2" t="n">
        <v>122.5409836065574</v>
      </c>
      <c r="H185" t="inlineStr">
        <is>
          <t>2025-26 Topps VJ Edgecombe RC 1/10 FIRST PRINT Rise To Stardom Black RainbowROY?</t>
        </is>
      </c>
      <c r="I185" s="2" t="n">
        <v>1356.18</v>
      </c>
      <c r="J185" s="7" t="n">
        <v>7.5</v>
      </c>
      <c r="K185" s="4" t="n"/>
      <c r="L185" s="2">
        <f>IF(K185&lt;&gt;"",K185,I185)</f>
        <v/>
      </c>
      <c r="M185" s="2">
        <f>G185-L185</f>
        <v/>
      </c>
      <c r="N185" s="5">
        <f>IF(L185&gt;0,M185/L185,"")</f>
        <v/>
      </c>
    </row>
    <row r="186">
      <c r="A186" t="n">
        <v>185</v>
      </c>
      <c r="B186" t="inlineStr">
        <is>
          <t>Victor Wembanyama</t>
        </is>
      </c>
      <c r="C186" t="inlineStr">
        <is>
          <t>2022-23 Bowman U Best of '22 Autographs #BOA-VW Victor Wembanyama Signed Rookie Card - PSA GEM MT 10</t>
        </is>
      </c>
      <c r="D186" t="inlineStr">
        <is>
          <t>2026 Weekly Auction Mar 24 - Apr 2</t>
        </is>
      </c>
      <c r="E186" s="2" t="n">
        <v>2150</v>
      </c>
      <c r="F186" s="2" t="n">
        <v>1762.295081967213</v>
      </c>
      <c r="G186" s="2" t="n">
        <v>2026.639344262295</v>
      </c>
      <c r="H186" t="inlineStr">
        <is>
          <t>2022-23 Bowman University - Victor Wembanyama Best of 2022 Auto PSA 10</t>
        </is>
      </c>
      <c r="I186" s="2" t="n">
        <v>1558.9</v>
      </c>
      <c r="J186" s="7" t="n">
        <v>6</v>
      </c>
      <c r="K186" s="4" t="n"/>
      <c r="L186" s="2">
        <f>IF(K186&lt;&gt;"",K186,I186)</f>
        <v/>
      </c>
      <c r="M186" s="2">
        <f>G186-L186</f>
        <v/>
      </c>
      <c r="N186" s="5">
        <f>IF(L186&gt;0,M186/L186,"")</f>
        <v/>
      </c>
    </row>
    <row r="187">
      <c r="A187" t="n">
        <v>186</v>
      </c>
      <c r="B187" t="inlineStr">
        <is>
          <t>Victor Wembanyama</t>
        </is>
      </c>
      <c r="C187" t="inlineStr">
        <is>
          <t>2023-24 Panini Immaculate Collection Gold #57 Victor Wembanyama Rookie Card (#07/10) - PSA MINT 9</t>
        </is>
      </c>
      <c r="D187" t="inlineStr">
        <is>
          <t>2026 Weekly Auction Mar 24 - Apr 2</t>
        </is>
      </c>
      <c r="E187" s="2" t="n">
        <v>1801</v>
      </c>
      <c r="F187" s="2" t="n">
        <v>1476.229508196721</v>
      </c>
      <c r="G187" s="2" t="n">
        <v>1697.663934426229</v>
      </c>
      <c r="H187" t="inlineStr">
        <is>
          <t>2023-24 Immaculate Collection #57 - Victor Wembanyama - Gold /10 (RC) PSA 9</t>
        </is>
      </c>
      <c r="I187" s="2" t="n">
        <v>1479.99</v>
      </c>
      <c r="J187" s="3" t="n">
        <v>13</v>
      </c>
      <c r="K187" s="4" t="n"/>
      <c r="L187" s="2">
        <f>IF(K187&lt;&gt;"",K187,I187)</f>
        <v/>
      </c>
      <c r="M187" s="2">
        <f>G187-L187</f>
        <v/>
      </c>
      <c r="N187" s="5">
        <f>IF(L187&gt;0,M187/L187,"")</f>
        <v/>
      </c>
    </row>
    <row r="188">
      <c r="A188" t="n">
        <v>187</v>
      </c>
      <c r="B188" t="inlineStr">
        <is>
          <t>Victor Wembanyama</t>
        </is>
      </c>
      <c r="C188" t="inlineStr">
        <is>
          <t>2023-24 Panini Select Light Blue Disco #87 Victor Wembanyama Rookie Card (#71/99) - PSA GEM MT 10</t>
        </is>
      </c>
      <c r="D188" t="inlineStr">
        <is>
          <t>2026 Weekly Auction Mar 31 - Apr 9</t>
        </is>
      </c>
      <c r="E188" s="2" t="n">
        <v>999</v>
      </c>
      <c r="F188" s="2" t="n">
        <v>818.8524590163935</v>
      </c>
      <c r="G188" s="2" t="n">
        <v>941.6803278688525</v>
      </c>
      <c r="H188" t="inlineStr">
        <is>
          <t>Victor Wembanyama RC 2023-24 Select RED Cracked Ice #87 PSA 10 GEM MINT POP /6!</t>
        </is>
      </c>
      <c r="I188" s="2" t="n">
        <v>433.35</v>
      </c>
      <c r="J188" s="3" t="n">
        <v>10.5</v>
      </c>
      <c r="K188" s="4" t="n"/>
      <c r="L188" s="2">
        <f>IF(K188&lt;&gt;"",K188,I188)</f>
        <v/>
      </c>
      <c r="M188" s="2">
        <f>G188-L188</f>
        <v/>
      </c>
      <c r="N188" s="5">
        <f>IF(L188&gt;0,M188/L188,"")</f>
        <v/>
      </c>
    </row>
    <row r="189">
      <c r="A189" t="n">
        <v>188</v>
      </c>
      <c r="B189" t="inlineStr">
        <is>
          <t>Victor Wembanyama</t>
        </is>
      </c>
      <c r="C189" t="inlineStr">
        <is>
          <t>2023-24 Panini Select Red Cracked Ice #87 Victor Wembanyama Rookie Card - PSA GEM MT 10</t>
        </is>
      </c>
      <c r="D189" t="inlineStr">
        <is>
          <t>2026 Weekly Auction Mar 24 - Apr 2</t>
        </is>
      </c>
      <c r="E189" s="2" t="n">
        <v>251</v>
      </c>
      <c r="F189" s="2" t="n">
        <v>205.7377049180328</v>
      </c>
      <c r="G189" s="2" t="n">
        <v>236.5983606557377</v>
      </c>
      <c r="H189" t="inlineStr">
        <is>
          <t>Victor Wembanyama RC 2023-24 Select RED Cracked Ice #87 PSA 10 GEM MINT POP /6!</t>
        </is>
      </c>
      <c r="I189" s="2" t="n">
        <v>433.35</v>
      </c>
      <c r="J189" s="3" t="n">
        <v>11.5</v>
      </c>
      <c r="K189" s="4" t="n"/>
      <c r="L189" s="2">
        <f>IF(K189&lt;&gt;"",K189,I189)</f>
        <v/>
      </c>
      <c r="M189" s="2">
        <f>G189-L189</f>
        <v/>
      </c>
      <c r="N189" s="5">
        <f>IF(L189&gt;0,M189/L189,"")</f>
        <v/>
      </c>
    </row>
    <row r="190">
      <c r="A190" t="n">
        <v>189</v>
      </c>
      <c r="B190" t="inlineStr">
        <is>
          <t>Victor Wembanyama</t>
        </is>
      </c>
      <c r="C190" t="inlineStr">
        <is>
          <t>2023-24 Panini Select Red Cracked Ice #87 Victor Wembanyama Rookie Card - PSA GEM MT 10</t>
        </is>
      </c>
      <c r="D190" t="inlineStr">
        <is>
          <t>2026 April Elite Auction</t>
        </is>
      </c>
      <c r="E190" s="2" t="n">
        <v>750</v>
      </c>
      <c r="F190" s="2" t="n">
        <v>614.7540983606558</v>
      </c>
      <c r="G190" s="2" t="n">
        <v>706.9672131147541</v>
      </c>
      <c r="H190" t="inlineStr">
        <is>
          <t>Victor Wembanyama RC 2023-24 Select RED Cracked Ice #87 PSA 10 GEM MINT POP /6!</t>
        </is>
      </c>
      <c r="I190" s="2" t="n">
        <v>433.35</v>
      </c>
      <c r="J190" s="3" t="n">
        <v>11.5</v>
      </c>
      <c r="K190" s="4" t="n"/>
      <c r="L190" s="2">
        <f>IF(K190&lt;&gt;"",K190,I190)</f>
        <v/>
      </c>
      <c r="M190" s="2">
        <f>G190-L190</f>
        <v/>
      </c>
      <c r="N190" s="5">
        <f>IF(L190&gt;0,M190/L190,"")</f>
        <v/>
      </c>
    </row>
    <row r="191">
      <c r="A191" t="n">
        <v>190</v>
      </c>
      <c r="B191" t="inlineStr">
        <is>
          <t>Victor Wembanyama</t>
        </is>
      </c>
      <c r="C191" t="inlineStr">
        <is>
          <t>2023-24 Topps Chrome 1972 Topps Autographs Gold Refractor #TA-VW Victor Wembanyama Signed Rookie Card (#04/50) - PSA MINT 9</t>
        </is>
      </c>
      <c r="D191" t="inlineStr">
        <is>
          <t>2026 Weekly Auction May 19 - May 28</t>
        </is>
      </c>
      <c r="E191" s="2" t="n">
        <v>6194</v>
      </c>
      <c r="F191" s="2" t="n">
        <v>5077.049180327869</v>
      </c>
      <c r="G191" s="2" t="n">
        <v>5838.606557377049</v>
      </c>
      <c r="H191" t="inlineStr">
        <is>
          <t>2023-24 Topps Chrome Victor Wembanyama 1972 Auto Gold Refractor RC #4/50 Spurs</t>
        </is>
      </c>
      <c r="I191" s="2" t="n">
        <v>2029.99</v>
      </c>
      <c r="J191" s="3" t="n">
        <v>8.5</v>
      </c>
      <c r="K191" s="4" t="n"/>
      <c r="L191" s="2">
        <f>IF(K191&lt;&gt;"",K191,I191)</f>
        <v/>
      </c>
      <c r="M191" s="2">
        <f>G191-L191</f>
        <v/>
      </c>
      <c r="N191" s="5">
        <f>IF(L191&gt;0,M191/L191,"")</f>
        <v/>
      </c>
    </row>
    <row r="192">
      <c r="A192" t="n">
        <v>191</v>
      </c>
      <c r="B192" t="inlineStr">
        <is>
          <t>Victor Wembanyama</t>
        </is>
      </c>
      <c r="C192" t="inlineStr">
        <is>
          <t>2023-24 Topps Chrome Autographs #CG-VW Victor Wembanyama Signed Rookie Card - PSA NM-MT 8</t>
        </is>
      </c>
      <c r="D192" t="inlineStr">
        <is>
          <t>2026 Weekly Auction May 19 - May 28</t>
        </is>
      </c>
      <c r="E192" s="2" t="n">
        <v>2750</v>
      </c>
      <c r="F192" s="2" t="n">
        <v>2254.098360655738</v>
      </c>
      <c r="G192" s="2" t="n">
        <v>2592.213114754099</v>
      </c>
      <c r="H192" t="inlineStr">
        <is>
          <t>2023-24 Topps Chrome Victor Wembanyama #CG-VW Rookie RC Spurs PSA 10 Auto POP 2</t>
        </is>
      </c>
      <c r="I192" s="2" t="n">
        <v>1644.99</v>
      </c>
      <c r="J192" s="3" t="n">
        <v>11.5</v>
      </c>
      <c r="K192" s="4" t="n"/>
      <c r="L192" s="2">
        <f>IF(K192&lt;&gt;"",K192,I192)</f>
        <v/>
      </c>
      <c r="M192" s="2">
        <f>G192-L192</f>
        <v/>
      </c>
      <c r="N192" s="5">
        <f>IF(L192&gt;0,M192/L192,"")</f>
        <v/>
      </c>
    </row>
    <row r="193">
      <c r="A193" t="n">
        <v>192</v>
      </c>
      <c r="B193" t="inlineStr">
        <is>
          <t>Victor Wembanyama</t>
        </is>
      </c>
      <c r="C193" t="inlineStr">
        <is>
          <t>2023-24 Topps Mercury Gold Refractor #19 Victor Wembanyama Rookie Card (#12/50) - PSA GEM MT 10</t>
        </is>
      </c>
      <c r="D193" t="inlineStr">
        <is>
          <t>2026 Weekly Auction Mar 24 - Apr 2</t>
        </is>
      </c>
      <c r="E193" s="2" t="n">
        <v>1135</v>
      </c>
      <c r="F193" s="2" t="n">
        <v>930.327868852459</v>
      </c>
      <c r="G193" s="2" t="n">
        <v>1069.877049180328</v>
      </c>
      <c r="H193" t="inlineStr">
        <is>
          <t>2023-24 Topps Chrome Victor Wembanyama 1972 Auto Gold Refractor RC #4/50 Spurs</t>
        </is>
      </c>
      <c r="I193" s="2" t="n">
        <v>2029.99</v>
      </c>
      <c r="J193" s="3" t="n">
        <v>13.5</v>
      </c>
      <c r="K193" s="4" t="n"/>
      <c r="L193" s="2">
        <f>IF(K193&lt;&gt;"",K193,I193)</f>
        <v/>
      </c>
      <c r="M193" s="2">
        <f>G193-L193</f>
        <v/>
      </c>
      <c r="N193" s="5">
        <f>IF(L193&gt;0,M193/L193,"")</f>
        <v/>
      </c>
    </row>
    <row r="194">
      <c r="A194" t="n">
        <v>193</v>
      </c>
      <c r="B194" t="inlineStr">
        <is>
          <t>Victor Wembanyama</t>
        </is>
      </c>
      <c r="C194" t="inlineStr">
        <is>
          <t>2023-24 Topps Now Autographs #VW-6A Victor Wembanyama Signed Rookie Card (#47/99) - PSA MINT 9</t>
        </is>
      </c>
      <c r="D194" t="inlineStr">
        <is>
          <t>2026 March Elite Auction</t>
        </is>
      </c>
      <c r="E194" s="2" t="n">
        <v>1450</v>
      </c>
      <c r="F194" s="2" t="n">
        <v>1188.524590163934</v>
      </c>
      <c r="G194" s="2" t="n">
        <v>1366.803278688524</v>
      </c>
      <c r="H194" t="inlineStr">
        <is>
          <t>2023-24 Topps Now Autographs 47/99 Victor Wembanyama Rookie Auto PSA 9 JW1</t>
        </is>
      </c>
      <c r="I194" s="2" t="n">
        <v>2199.5</v>
      </c>
      <c r="J194" s="3" t="n">
        <v>8.5</v>
      </c>
      <c r="K194" s="4" t="n"/>
      <c r="L194" s="2">
        <f>IF(K194&lt;&gt;"",K194,I194)</f>
        <v/>
      </c>
      <c r="M194" s="2">
        <f>G194-L194</f>
        <v/>
      </c>
      <c r="N194" s="5">
        <f>IF(L194&gt;0,M194/L194,"")</f>
        <v/>
      </c>
    </row>
    <row r="195">
      <c r="A195" t="n">
        <v>194</v>
      </c>
      <c r="B195" t="inlineStr">
        <is>
          <t>Vince Carter</t>
        </is>
      </c>
      <c r="C195" t="inlineStr">
        <is>
          <t>2011-2012 Upper Deck Exquisite Collection Personal Touch #PTC-VC Vince Carter Signed Card (#01/30) - BGS MINT 9, Beckett 10</t>
        </is>
      </c>
      <c r="D195" t="inlineStr">
        <is>
          <t>2026 Weekly Auction Mar 24 - Apr 2</t>
        </is>
      </c>
      <c r="E195" s="2" t="n">
        <v>500</v>
      </c>
      <c r="F195" s="2" t="n">
        <v>409.8360655737705</v>
      </c>
      <c r="G195" s="2" t="n">
        <v>471.311475409836</v>
      </c>
      <c r="H195" t="inlineStr">
        <is>
          <t>2011-12 UD Exquisite Collection VINCE CARTER Auto #01/30 BGS 9 Personal Touch</t>
        </is>
      </c>
      <c r="I195" s="2" t="n">
        <v>279.47</v>
      </c>
      <c r="J195" s="6" t="n">
        <v>4.5</v>
      </c>
      <c r="K195" s="4" t="n"/>
      <c r="L195" s="2">
        <f>IF(K195&lt;&gt;"",K195,I195)</f>
        <v/>
      </c>
      <c r="M195" s="2">
        <f>G195-L195</f>
        <v/>
      </c>
      <c r="N195" s="5">
        <f>IF(L195&gt;0,M195/L195,"")</f>
        <v/>
      </c>
    </row>
    <row r="196">
      <c r="A196" t="n">
        <v>195</v>
      </c>
      <c r="B196" t="inlineStr">
        <is>
          <t>Vince Carter</t>
        </is>
      </c>
      <c r="C196" t="inlineStr">
        <is>
          <t>2019-20 Panini Immaculate Collection Shadowbox Signatures '25 Black Box #SS-VCT Vince Carter Signed Card (#1/1) - Panini Encased</t>
        </is>
      </c>
      <c r="D196" t="inlineStr">
        <is>
          <t>2026 Weekly Auction Apr 21 - Apr 30</t>
        </is>
      </c>
      <c r="E196" s="2" t="n">
        <v>245</v>
      </c>
      <c r="F196" s="2" t="n">
        <v>200.8196721311475</v>
      </c>
      <c r="G196" s="2" t="n">
        <v>230.9426229508197</v>
      </c>
      <c r="H196" t="inlineStr">
        <is>
          <t>2019-20 Panini Immaculate Vince Carter Black Box 1/1 Auto</t>
        </is>
      </c>
      <c r="I196" s="2" t="n">
        <v>706.8</v>
      </c>
      <c r="J196" s="7" t="n">
        <v>7.5</v>
      </c>
      <c r="K196" s="4" t="n"/>
      <c r="L196" s="2">
        <f>IF(K196&lt;&gt;"",K196,I196)</f>
        <v/>
      </c>
      <c r="M196" s="2">
        <f>G196-L196</f>
        <v/>
      </c>
      <c r="N196" s="5">
        <f>IF(L196&gt;0,M196/L196,"")</f>
        <v/>
      </c>
    </row>
    <row r="197">
      <c r="A197" t="n">
        <v>196</v>
      </c>
      <c r="B197" t="inlineStr">
        <is>
          <t>Yao Ming</t>
        </is>
      </c>
      <c r="C197" t="inlineStr">
        <is>
          <t>2002-03 Topps Chrome Black Refractor #146 Yao Ming Rookie Card (#20/99) - PSA MINT 9</t>
        </is>
      </c>
      <c r="D197" t="inlineStr">
        <is>
          <t>2026 April Elite Auction</t>
        </is>
      </c>
      <c r="E197" s="2" t="n">
        <v>2751</v>
      </c>
      <c r="F197" s="2" t="n">
        <v>2254.918032786885</v>
      </c>
      <c r="G197" s="2" t="n">
        <v>2593.155737704918</v>
      </c>
      <c r="H197" t="inlineStr">
        <is>
          <t>2002-03 Topps Chrome Yao Ming Refractor Rookie RC #146 Rockets PSA 10</t>
        </is>
      </c>
      <c r="I197" s="2" t="n">
        <v>1940</v>
      </c>
      <c r="J197" s="3" t="n">
        <v>11.5</v>
      </c>
      <c r="K197" s="4" t="n"/>
      <c r="L197" s="2">
        <f>IF(K197&lt;&gt;"",K197,I197)</f>
        <v/>
      </c>
      <c r="M197" s="2">
        <f>G197-L197</f>
        <v/>
      </c>
      <c r="N197" s="5">
        <f>IF(L197&gt;0,M197/L197,"")</f>
        <v/>
      </c>
    </row>
    <row r="198">
      <c r="A198" t="n">
        <v>197</v>
      </c>
      <c r="B198" t="inlineStr">
        <is>
          <t>Yao Ming</t>
        </is>
      </c>
      <c r="C198" t="inlineStr">
        <is>
          <t>2002-03 Topps Pristine Refractors #51 Yao Ming (#0985/1899) - BGS GEM MINT 9.5</t>
        </is>
      </c>
      <c r="D198" t="inlineStr">
        <is>
          <t>2026 Weekly Auction Mar 24 - Apr 2</t>
        </is>
      </c>
      <c r="E198" s="2" t="n">
        <v>100</v>
      </c>
      <c r="F198" s="2" t="n">
        <v>81.9672131147541</v>
      </c>
      <c r="G198" s="2" t="n">
        <v>94.26229508196721</v>
      </c>
      <c r="H198" t="inlineStr">
        <is>
          <t>2002-03 Topps Pristine Refractor #51 Yao Ming RC /1899 ROOKIE BGS 9.5 GEM MINT🔥</t>
        </is>
      </c>
      <c r="I198" s="2" t="n">
        <v>180.14</v>
      </c>
      <c r="J198" s="3" t="n">
        <v>13</v>
      </c>
      <c r="K198" s="4" t="n"/>
      <c r="L198" s="2">
        <f>IF(K198&lt;&gt;"",K198,I198)</f>
        <v/>
      </c>
      <c r="M198" s="2">
        <f>G198-L198</f>
        <v/>
      </c>
      <c r="N198" s="5">
        <f>IF(L198&gt;0,M198/L198,"")</f>
        <v/>
      </c>
    </row>
    <row r="199">
      <c r="A199" t="n">
        <v>198</v>
      </c>
      <c r="B199" t="inlineStr">
        <is>
          <t>Yao Ming</t>
        </is>
      </c>
      <c r="C199" t="inlineStr">
        <is>
          <t>2003-04 Upper Deck Rookie Exclusives Autograph #A58 Yao Ming Signed Card - PSA Authentic, PSA/DNA GEM MT 10</t>
        </is>
      </c>
      <c r="D199" t="inlineStr">
        <is>
          <t>2026 April Elite Auction</t>
        </is>
      </c>
      <c r="E199" s="2" t="n">
        <v>376</v>
      </c>
      <c r="F199" s="2" t="n">
        <v>308.1967213114754</v>
      </c>
      <c r="G199" s="2" t="n">
        <v>354.4262295081967</v>
      </c>
      <c r="H199" t="inlineStr">
        <is>
          <t>2003 Upper Deck Rookie Exclusives #A58 Yao Ming PSA AUTO 10 - RARE</t>
        </is>
      </c>
      <c r="I199" s="2" t="n">
        <v>506.05</v>
      </c>
      <c r="J199" s="3" t="n">
        <v>8.5</v>
      </c>
      <c r="K199" s="4" t="n"/>
      <c r="L199" s="2">
        <f>IF(K199&lt;&gt;"",K199,I199)</f>
        <v/>
      </c>
      <c r="M199" s="2">
        <f>G199-L199</f>
        <v/>
      </c>
      <c r="N199" s="5">
        <f>IF(L199&gt;0,M199/L199,"")</f>
        <v/>
      </c>
    </row>
    <row r="200">
      <c r="A200" t="n">
        <v>199</v>
      </c>
      <c r="B200" t="inlineStr">
        <is>
          <t>Yao Ming</t>
        </is>
      </c>
      <c r="C200" t="inlineStr">
        <is>
          <t>2012-13 Panini Crusade Prizm Green &amp; Gold #142 Yao Ming (#02/25) - PSA GEM MT 10</t>
        </is>
      </c>
      <c r="D200" t="inlineStr">
        <is>
          <t>2026 Weekly Auction Mar 24 - Apr 2</t>
        </is>
      </c>
      <c r="E200" s="2" t="n">
        <v>81</v>
      </c>
      <c r="F200" s="2" t="n">
        <v>66.39344262295081</v>
      </c>
      <c r="G200" s="2" t="n">
        <v>76.35245901639342</v>
      </c>
      <c r="H200" t="inlineStr">
        <is>
          <t>2012-13 Panini Crusade Yao Ming Gold Green #2/25 Rockets PSA 10</t>
        </is>
      </c>
      <c r="I200" s="2" t="n">
        <v>158.38</v>
      </c>
      <c r="J200" s="7" t="n">
        <v>6</v>
      </c>
      <c r="K200" s="4" t="n"/>
      <c r="L200" s="2">
        <f>IF(K200&lt;&gt;"",K200,I200)</f>
        <v/>
      </c>
      <c r="M200" s="2">
        <f>G200-L200</f>
        <v/>
      </c>
      <c r="N200" s="5">
        <f>IF(L200&gt;0,M200/L200,"")</f>
        <v/>
      </c>
    </row>
    <row r="201">
      <c r="A201" t="n">
        <v>200</v>
      </c>
      <c r="B201" t="inlineStr">
        <is>
          <t>Yao Ming</t>
        </is>
      </c>
      <c r="C201" t="inlineStr">
        <is>
          <t>2016-17 Panini Gold Standard Mother Lode Autograph #13 Yao Ming Signed Card (#25/25) - PSA Authentic, PSA/DNA GEM MT 10</t>
        </is>
      </c>
      <c r="D201" t="inlineStr">
        <is>
          <t>2026 Weekly Auction Mar 24 - Apr 2</t>
        </is>
      </c>
      <c r="E201" s="2" t="n">
        <v>675</v>
      </c>
      <c r="F201" s="2" t="n">
        <v>553.2786885245902</v>
      </c>
      <c r="G201" s="2" t="n">
        <v>636.2704918032787</v>
      </c>
      <c r="H201" t="inlineStr">
        <is>
          <t>25/25 ≈1/1 ! 2016-17 Gold Standard Yao Ming #13 Mother Lode PSA 10 Auto POP 1</t>
        </is>
      </c>
      <c r="I201" s="2" t="n">
        <v>202.6</v>
      </c>
      <c r="J201" s="3" t="n">
        <v>11.5</v>
      </c>
      <c r="K201" s="4" t="n"/>
      <c r="L201" s="2">
        <f>IF(K201&lt;&gt;"",K201,I201)</f>
        <v/>
      </c>
      <c r="M201" s="2">
        <f>G201-L201</f>
        <v/>
      </c>
      <c r="N201" s="5">
        <f>IF(L201&gt;0,M201/L201,"")</f>
        <v/>
      </c>
    </row>
    <row r="202">
      <c r="A202" t="n">
        <v>201</v>
      </c>
      <c r="B202" t="inlineStr">
        <is>
          <t>Yao Ming</t>
        </is>
      </c>
      <c r="C202" t="inlineStr">
        <is>
          <t>2023-24 Panini Immaculate Collection Immaculate Legends #ILE-YM Yao Ming Signed Card (#31/49) - Panini Encased</t>
        </is>
      </c>
      <c r="D202" t="inlineStr">
        <is>
          <t>2026 April Elite Auction</t>
        </is>
      </c>
      <c r="E202" s="2" t="n">
        <v>500</v>
      </c>
      <c r="F202" s="2" t="n">
        <v>409.8360655737705</v>
      </c>
      <c r="G202" s="2" t="n">
        <v>471.311475409836</v>
      </c>
      <c r="H202" t="inlineStr">
        <is>
          <t>2023-24 Panini Immaculate Legends Yao Ming On Card Auto /49 Houston Rockets HOF</t>
        </is>
      </c>
      <c r="I202" s="2" t="n">
        <v>436.5</v>
      </c>
      <c r="J202" s="7" t="n">
        <v>7</v>
      </c>
      <c r="K202" s="4" t="n"/>
      <c r="L202" s="2">
        <f>IF(K202&lt;&gt;"",K202,I202)</f>
        <v/>
      </c>
      <c r="M202" s="2">
        <f>G202-L202</f>
        <v/>
      </c>
      <c r="N202" s="5">
        <f>IF(L202&gt;0,M202/L202,"")</f>
        <v/>
      </c>
    </row>
    <row r="203">
      <c r="A203" t="n">
        <v>202</v>
      </c>
      <c r="B203" t="inlineStr">
        <is>
          <t>Yao Ming</t>
        </is>
      </c>
      <c r="C203" t="inlineStr">
        <is>
          <t>2024 Panini NSCC VIP Gold #41 Yao Ming (#06/10) - PSA NM-MT 8</t>
        </is>
      </c>
      <c r="D203" t="inlineStr">
        <is>
          <t>2026 Weekly Auction Mar 3 - Mar 12</t>
        </is>
      </c>
      <c r="E203" s="2" t="n">
        <v>56</v>
      </c>
      <c r="F203" s="2" t="n">
        <v>45.90163934426229</v>
      </c>
      <c r="G203" s="2" t="n">
        <v>52.78688524590163</v>
      </c>
      <c r="H203" t="inlineStr">
        <is>
          <t>2014-15 Panini Court Kings Yao Ming #22 Gold Sovereign Signatures Auto Patch /10</t>
        </is>
      </c>
      <c r="I203" s="2" t="n">
        <v>406.21</v>
      </c>
      <c r="J203" s="7" t="n">
        <v>7.5</v>
      </c>
      <c r="K203" s="4" t="n"/>
      <c r="L203" s="2">
        <f>IF(K203&lt;&gt;"",K203,I203)</f>
        <v/>
      </c>
      <c r="M203" s="2">
        <f>G203-L203</f>
        <v/>
      </c>
      <c r="N203" s="5">
        <f>IF(L203&gt;0,M203/L203,"")</f>
        <v/>
      </c>
    </row>
    <row r="204">
      <c r="A204" t="n">
        <v>203</v>
      </c>
      <c r="B204" t="inlineStr">
        <is>
          <t>Yoshinobu Yamamoto</t>
        </is>
      </c>
      <c r="C204" t="inlineStr">
        <is>
          <t>2023 Topps NPB Chrome Topps 2001 Orange Refractor #01-1 Yoshinobu Yamamoto (#01/25) - PSA MINT 9</t>
        </is>
      </c>
      <c r="D204" t="inlineStr">
        <is>
          <t>2026 Weekly Auction Mar 24 - Apr 2</t>
        </is>
      </c>
      <c r="E204" s="2" t="n">
        <v>425</v>
      </c>
      <c r="F204" s="2" t="n">
        <v>348.3606557377049</v>
      </c>
      <c r="G204" s="2" t="n">
        <v>400.6147540983606</v>
      </c>
      <c r="H204" t="inlineStr">
        <is>
          <t>2023 Yoshinobu Yamamoto 1/25 Topps NPB Chrome Orange Refractor #O1-1 PSA9 MINT</t>
        </is>
      </c>
      <c r="I204" s="2" t="n">
        <v>577.49</v>
      </c>
      <c r="J204" s="3" t="n">
        <v>8.5</v>
      </c>
      <c r="K204" s="4" t="n"/>
      <c r="L204" s="2">
        <f>IF(K204&lt;&gt;"",K204,I204)</f>
        <v/>
      </c>
      <c r="M204" s="2">
        <f>G204-L204</f>
        <v/>
      </c>
      <c r="N204" s="5">
        <f>IF(L204&gt;0,M204/L204,"")</f>
        <v/>
      </c>
    </row>
    <row r="205">
      <c r="A205" t="n">
        <v>204</v>
      </c>
      <c r="B205" t="inlineStr">
        <is>
          <t>Yoshinobu Yamamoto</t>
        </is>
      </c>
      <c r="C205" t="inlineStr">
        <is>
          <t>2025 Topps Five Star Golden Graphs Blue #GG-YY Yoshinobu Yamamoto Signed Card (#19/20) - Topps Encased</t>
        </is>
      </c>
      <c r="D205" t="inlineStr">
        <is>
          <t>2026 Weekly Auction Apr 7 - Apr 16</t>
        </is>
      </c>
      <c r="E205" s="2" t="n">
        <v>1610</v>
      </c>
      <c r="F205" s="2" t="n">
        <v>1319.672131147541</v>
      </c>
      <c r="G205" s="2" t="n">
        <v>1517.622950819672</v>
      </c>
      <c r="H205" t="inlineStr">
        <is>
          <t>Yoshinobu Yamamoto 2025 Topps Five Star Golden Graphs Auto Blue /20 Dodgers</t>
        </is>
      </c>
      <c r="I205" s="2" t="n">
        <v>705.52</v>
      </c>
      <c r="J205" s="3" t="n">
        <v>8</v>
      </c>
      <c r="K205" s="4" t="n"/>
      <c r="L205" s="2">
        <f>IF(K205&lt;&gt;"",K205,I205)</f>
        <v/>
      </c>
      <c r="M205" s="2">
        <f>G205-L205</f>
        <v/>
      </c>
      <c r="N205" s="5">
        <f>IF(L205&gt;0,M205/L205,"")</f>
        <v/>
      </c>
    </row>
    <row r="206">
      <c r="A206" t="n">
        <v>205</v>
      </c>
      <c r="B206" t="inlineStr">
        <is>
          <t>Charles Barkley</t>
        </is>
      </c>
      <c r="C206" t="inlineStr">
        <is>
          <t>1986-87 Fleer #7 Charles Barkley Signed Rookie Card - PSA Authentic, PSA/DNA Authentic</t>
        </is>
      </c>
      <c r="E206" s="2" t="n">
        <v>388</v>
      </c>
      <c r="F206" s="2" t="n">
        <v>318.0327868852459</v>
      </c>
      <c r="G206" s="2" t="n">
        <v>365.7377049180328</v>
      </c>
      <c r="H206" s="8" t="inlineStr">
        <is>
          <t>NO MATCH FOUND</t>
        </is>
      </c>
      <c r="I206" s="2" t="n">
        <v>0</v>
      </c>
      <c r="J206" s="6" t="n">
        <v>0</v>
      </c>
      <c r="K206" s="4" t="n"/>
      <c r="L206" s="2">
        <f>IF(K206&lt;&gt;"",K206,I206)</f>
        <v/>
      </c>
      <c r="M206" s="2">
        <f>G206-L206</f>
        <v/>
      </c>
      <c r="N206" s="5">
        <f>IF(L206&gt;0,M206/L206,"")</f>
        <v/>
      </c>
    </row>
    <row r="207">
      <c r="A207" t="n">
        <v>206</v>
      </c>
      <c r="B207" t="inlineStr">
        <is>
          <t>Allen Iverson</t>
        </is>
      </c>
      <c r="C207" t="inlineStr">
        <is>
          <t>Allen Iverson Signed Trading Card - PSA/DNA Authentic</t>
        </is>
      </c>
      <c r="E207" s="2" t="n">
        <v>62</v>
      </c>
      <c r="F207" s="2" t="n">
        <v>50.81967213114754</v>
      </c>
      <c r="G207" s="2" t="n">
        <v>58.44262295081967</v>
      </c>
      <c r="H207" s="8" t="inlineStr">
        <is>
          <t>NO MATCH FOUND</t>
        </is>
      </c>
      <c r="I207" s="2" t="n">
        <v>0</v>
      </c>
      <c r="J207" s="6" t="n">
        <v>0</v>
      </c>
      <c r="K207" s="4" t="n"/>
      <c r="L207" s="2">
        <f>IF(K207&lt;&gt;"",K207,I207)</f>
        <v/>
      </c>
      <c r="M207" s="2">
        <f>G207-L207</f>
        <v/>
      </c>
      <c r="N207" s="5">
        <f>IF(L207&gt;0,M207/L207,"")</f>
        <v/>
      </c>
    </row>
    <row r="208">
      <c r="A208" t="n">
        <v>207</v>
      </c>
      <c r="B208" t="inlineStr">
        <is>
          <t>Stephen Curry</t>
        </is>
      </c>
      <c r="C208" t="inlineStr">
        <is>
          <t>Stephen Curry Signed Trading Card - PSA/DNA Authentic</t>
        </is>
      </c>
      <c r="E208" s="2" t="n">
        <v>331</v>
      </c>
      <c r="F208" s="2" t="n">
        <v>271.3114754098361</v>
      </c>
      <c r="G208" s="2" t="n">
        <v>312.0081967213115</v>
      </c>
      <c r="H208" s="8" t="inlineStr">
        <is>
          <t>NO MATCH FOUND</t>
        </is>
      </c>
      <c r="I208" s="2" t="n">
        <v>0</v>
      </c>
      <c r="J208" s="6" t="n">
        <v>0</v>
      </c>
      <c r="K208" s="4" t="n"/>
      <c r="L208" s="2">
        <f>IF(K208&lt;&gt;"",K208,I208)</f>
        <v/>
      </c>
      <c r="M208" s="2">
        <f>G208-L208</f>
        <v/>
      </c>
      <c r="N208" s="5">
        <f>IF(L208&gt;0,M208/L208,"")</f>
        <v/>
      </c>
    </row>
    <row r="209">
      <c r="A209" t="n">
        <v>208</v>
      </c>
      <c r="B209" t="inlineStr">
        <is>
          <t>Other</t>
        </is>
      </c>
      <c r="C209" t="inlineStr">
        <is>
          <t>2022-23 Panini Immaculate Collection Patch Autographs Jersey Number #IPA-RGO Rudy Gobert Signed Relic Card (#06/27) - Panini Encased</t>
        </is>
      </c>
      <c r="E209" s="2" t="n">
        <v>24</v>
      </c>
      <c r="F209" s="2" t="n">
        <v>19.67213114754098</v>
      </c>
      <c r="G209" s="2" t="n">
        <v>22.62295081967213</v>
      </c>
      <c r="H209" s="8" t="inlineStr">
        <is>
          <t>NO MATCH FOUND</t>
        </is>
      </c>
      <c r="I209" s="2" t="n">
        <v>0</v>
      </c>
      <c r="J209" s="6" t="n">
        <v>0</v>
      </c>
      <c r="K209" s="4" t="n"/>
      <c r="L209" s="2">
        <f>IF(K209&lt;&gt;"",K209,I209)</f>
        <v/>
      </c>
      <c r="M209" s="2">
        <f>G209-L209</f>
        <v/>
      </c>
      <c r="N209" s="5">
        <f>IF(L209&gt;0,M209/L209,"")</f>
        <v/>
      </c>
    </row>
    <row r="210">
      <c r="A210" t="n">
        <v>209</v>
      </c>
      <c r="B210" t="inlineStr">
        <is>
          <t>Julius Erving</t>
        </is>
      </c>
      <c r="C210" t="inlineStr">
        <is>
          <t>2014-15 Panini Flawless Association Autographs Gold #AA-JE Julius Erving Signed Card (#03/10) - BGS NM-MT 8</t>
        </is>
      </c>
      <c r="E210" s="2" t="n">
        <v>254</v>
      </c>
      <c r="F210" s="2" t="n">
        <v>208.1967213114754</v>
      </c>
      <c r="G210" s="2" t="n">
        <v>239.4262295081967</v>
      </c>
      <c r="H210" s="8" t="inlineStr">
        <is>
          <t>NO MATCH FOUND</t>
        </is>
      </c>
      <c r="I210" s="2" t="n">
        <v>0</v>
      </c>
      <c r="J210" s="6" t="n">
        <v>0</v>
      </c>
      <c r="K210" s="4" t="n"/>
      <c r="L210" s="2">
        <f>IF(K210&lt;&gt;"",K210,I210)</f>
        <v/>
      </c>
      <c r="M210" s="2">
        <f>G210-L210</f>
        <v/>
      </c>
      <c r="N210" s="5">
        <f>IF(L210&gt;0,M210/L210,"")</f>
        <v/>
      </c>
    </row>
    <row r="211">
      <c r="A211" t="n">
        <v>210</v>
      </c>
      <c r="B211" t="inlineStr">
        <is>
          <t>Paolo Banchero</t>
        </is>
      </c>
      <c r="C211" t="inlineStr">
        <is>
          <t>2022-23 Panini Recon Rookie Recon Signatures Purple #RRS-PBC Paolo Banchero Signed Rookie Card (#12/25) - PSA NM-MT 8, PSA/DNA GEM MT 10</t>
        </is>
      </c>
      <c r="E211" s="2" t="n">
        <v>130</v>
      </c>
      <c r="F211" s="2" t="n">
        <v>106.5573770491803</v>
      </c>
      <c r="G211" s="2" t="n">
        <v>122.5409836065574</v>
      </c>
      <c r="H211" s="8" t="inlineStr">
        <is>
          <t>NO MATCH FOUND</t>
        </is>
      </c>
      <c r="I211" s="2" t="n">
        <v>0</v>
      </c>
      <c r="J211" s="6" t="n">
        <v>0</v>
      </c>
      <c r="K211" s="4" t="n"/>
      <c r="L211" s="2">
        <f>IF(K211&lt;&gt;"",K211,I211)</f>
        <v/>
      </c>
      <c r="M211" s="2">
        <f>G211-L211</f>
        <v/>
      </c>
      <c r="N211" s="5">
        <f>IF(L211&gt;0,M211/L211,"")</f>
        <v/>
      </c>
    </row>
    <row r="212">
      <c r="A212" t="n">
        <v>211</v>
      </c>
      <c r="B212" t="inlineStr">
        <is>
          <t>Angel Reese</t>
        </is>
      </c>
      <c r="C212" t="inlineStr">
        <is>
          <t>2024-25 Panini Instant Rookie Royalty WNBA Downtown #12 Angel Reese Rookie Card - PSA GEM MT 10</t>
        </is>
      </c>
      <c r="E212" s="2" t="n">
        <v>290</v>
      </c>
      <c r="F212" s="2" t="n">
        <v>237.7049180327869</v>
      </c>
      <c r="G212" s="2" t="n">
        <v>273.3606557377049</v>
      </c>
      <c r="H212" s="8" t="inlineStr">
        <is>
          <t>NO MATCH FOUND</t>
        </is>
      </c>
      <c r="I212" s="2" t="n">
        <v>0</v>
      </c>
      <c r="J212" s="6" t="n">
        <v>0</v>
      </c>
      <c r="K212" s="4" t="n"/>
      <c r="L212" s="2">
        <f>IF(K212&lt;&gt;"",K212,I212)</f>
        <v/>
      </c>
      <c r="M212" s="2">
        <f>G212-L212</f>
        <v/>
      </c>
      <c r="N212" s="5">
        <f>IF(L212&gt;0,M212/L212,"")</f>
        <v/>
      </c>
    </row>
    <row r="213">
      <c r="A213" t="n">
        <v>212</v>
      </c>
      <c r="B213" t="inlineStr">
        <is>
          <t>Other</t>
        </is>
      </c>
      <c r="C213" t="inlineStr">
        <is>
          <t>2025 Panini Impeccable WNBA Basketball Factory-Sealed Hobby Case (3 Boxes) - Possible Paige Bueckers, Hailey Van Lith, Kiki Iriafen Rookie Cards</t>
        </is>
      </c>
      <c r="E213" s="2" t="n">
        <v>2501</v>
      </c>
      <c r="F213" s="2" t="n">
        <v>2050</v>
      </c>
      <c r="G213" s="2" t="n">
        <v>2357.5</v>
      </c>
      <c r="H213" s="8" t="inlineStr">
        <is>
          <t>NO MATCH FOUND</t>
        </is>
      </c>
      <c r="I213" s="2" t="n">
        <v>0</v>
      </c>
      <c r="J213" s="6" t="n">
        <v>0</v>
      </c>
      <c r="K213" s="4" t="n"/>
      <c r="L213" s="2">
        <f>IF(K213&lt;&gt;"",K213,I213)</f>
        <v/>
      </c>
      <c r="M213" s="2">
        <f>G213-L213</f>
        <v/>
      </c>
      <c r="N213" s="5">
        <f>IF(L213&gt;0,M213/L213,"")</f>
        <v/>
      </c>
    </row>
    <row r="214">
      <c r="A214" t="n">
        <v>213</v>
      </c>
      <c r="B214" t="inlineStr">
        <is>
          <t>Other</t>
        </is>
      </c>
      <c r="C214" t="inlineStr">
        <is>
          <t>Mike Tyson Signed Everlast Boxing Glove - Fiterman Sports</t>
        </is>
      </c>
      <c r="E214" s="2" t="n">
        <v>110</v>
      </c>
      <c r="F214" s="2" t="n">
        <v>90.16393442622952</v>
      </c>
      <c r="G214" s="2" t="n">
        <v>103.6885245901639</v>
      </c>
      <c r="H214" s="8" t="inlineStr">
        <is>
          <t>NO MATCH FOUND</t>
        </is>
      </c>
      <c r="I214" s="2" t="n">
        <v>0</v>
      </c>
      <c r="J214" s="6" t="n">
        <v>0</v>
      </c>
      <c r="K214" s="4" t="n"/>
      <c r="L214" s="2">
        <f>IF(K214&lt;&gt;"",K214,I214)</f>
        <v/>
      </c>
      <c r="M214" s="2">
        <f>G214-L214</f>
        <v/>
      </c>
      <c r="N214" s="5">
        <f>IF(L214&gt;0,M214/L214,"")</f>
        <v/>
      </c>
    </row>
    <row r="215">
      <c r="A215" t="n">
        <v>214</v>
      </c>
      <c r="B215" t="inlineStr">
        <is>
          <t>Giannis Antetokounmpo</t>
        </is>
      </c>
      <c r="C215" t="inlineStr">
        <is>
          <t>2014-15 Panini Flawless Association Autographs Emerald #AA-GA Giannis Antetokounmpo Signed Card (#1/5) - PSA NM 7</t>
        </is>
      </c>
      <c r="E215" s="2" t="n">
        <v>1001</v>
      </c>
      <c r="F215" s="2" t="n">
        <v>820.4918032786885</v>
      </c>
      <c r="G215" s="2" t="n">
        <v>943.5655737704917</v>
      </c>
      <c r="H215" s="8" t="inlineStr">
        <is>
          <t>NO MATCH FOUND</t>
        </is>
      </c>
      <c r="I215" s="2" t="n">
        <v>0</v>
      </c>
      <c r="J215" s="6" t="n">
        <v>0</v>
      </c>
      <c r="K215" s="4" t="n"/>
      <c r="L215" s="2">
        <f>IF(K215&lt;&gt;"",K215,I215)</f>
        <v/>
      </c>
      <c r="M215" s="2">
        <f>G215-L215</f>
        <v/>
      </c>
      <c r="N215" s="5">
        <f>IF(L215&gt;0,M215/L215,"")</f>
        <v/>
      </c>
    </row>
    <row r="216">
      <c r="A216" t="n">
        <v>215</v>
      </c>
      <c r="B216" t="inlineStr">
        <is>
          <t>Kobe Bryant</t>
        </is>
      </c>
      <c r="C216" t="inlineStr">
        <is>
          <t>2009-10 Panini Limited Banner Season Material #8 Kobe Bryant Relic Card (#82/99) - PSA NM-MT 8</t>
        </is>
      </c>
      <c r="E216" s="2" t="n">
        <v>450</v>
      </c>
      <c r="F216" s="2" t="n">
        <v>368.8524590163934</v>
      </c>
      <c r="G216" s="2" t="n">
        <v>424.1803278688524</v>
      </c>
      <c r="H216" s="8" t="inlineStr">
        <is>
          <t>NO MATCH FOUND</t>
        </is>
      </c>
      <c r="I216" s="2" t="n">
        <v>0</v>
      </c>
      <c r="J216" s="6" t="n">
        <v>0</v>
      </c>
      <c r="K216" s="4" t="n"/>
      <c r="L216" s="2">
        <f>IF(K216&lt;&gt;"",K216,I216)</f>
        <v/>
      </c>
      <c r="M216" s="2">
        <f>G216-L216</f>
        <v/>
      </c>
      <c r="N216" s="5">
        <f>IF(L216&gt;0,M216/L216,"")</f>
        <v/>
      </c>
    </row>
    <row r="219">
      <c r="F219" s="9" t="inlineStr">
        <is>
          <t>TOTALS:</t>
        </is>
      </c>
      <c r="G219" s="10">
        <f>SUM(G2:G216)</f>
        <v/>
      </c>
      <c r="L219" s="10">
        <f>SUM(L2:L216)</f>
        <v/>
      </c>
      <c r="M219" s="11">
        <f>SUM(M2:M216)</f>
        <v/>
      </c>
      <c r="N219" s="12">
        <f>IF(L219&gt;0,M219/L219,"")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GOLDIN P&amp;L REVIEW — INSTRUCTIONS</t>
        </is>
      </c>
    </row>
    <row r="3">
      <c r="A3" t="inlineStr">
        <is>
          <t>1. Review the 'Goldin P&amp;L Review' sheet</t>
        </is>
      </c>
    </row>
    <row r="4">
      <c r="A4" t="inlineStr">
        <is>
          <t>2. Column J (Match Score) shows match confidence: GREEN = likely correct, YELLOW = check it, RED = probably wrong</t>
        </is>
      </c>
    </row>
    <row r="5">
      <c r="A5" t="inlineStr">
        <is>
          <t>3. Column H shows which eBay purchase was auto-matched</t>
        </is>
      </c>
    </row>
    <row r="6">
      <c r="A6" t="inlineStr">
        <is>
          <t>4. If the match is WRONG, enter the correct eBay purchase cost in Column K (yellow column)</t>
        </is>
      </c>
    </row>
    <row r="7">
      <c r="A7" t="inlineStr">
        <is>
          <t>5. If the match is correct, leave Column K blank — it will use Column I automatically</t>
        </is>
      </c>
    </row>
    <row r="8">
      <c r="A8" t="inlineStr">
        <is>
          <t>6. Column L auto-calculates: uses your corrected cost if entered, otherwise the auto-matched cost</t>
        </is>
      </c>
    </row>
    <row r="9">
      <c r="A9" t="inlineStr">
        <is>
          <t>7. Columns M and N auto-calculate P&amp;L and Return %</t>
        </is>
      </c>
    </row>
    <row r="10">
      <c r="A10" t="inlineStr">
        <is>
          <t>8. RED rows at bottom = no eBay match found — you MUST enter cost in Column K</t>
        </is>
      </c>
    </row>
    <row r="11">
      <c r="A11" t="inlineStr">
        <is>
          <t>9. Upload the corrected file back and I'll generate the final tax P&amp;L</t>
        </is>
      </c>
    </row>
    <row r="13">
      <c r="A13" s="14" t="inlineStr">
        <is>
          <t>FORMULA REFERENCE:</t>
        </is>
      </c>
    </row>
    <row r="14">
      <c r="A14" t="inlineStr">
        <is>
          <t xml:space="preserve">  Hammer Price = Goldin Final Price ÷ 1.22</t>
        </is>
      </c>
    </row>
    <row r="15">
      <c r="A15" t="inlineStr">
        <is>
          <t xml:space="preserve">  Seller Proceeds = Hammer × 1.15 (you get 15% of the 22% buyer's premium)</t>
        </is>
      </c>
    </row>
    <row r="16">
      <c r="A16" t="inlineStr">
        <is>
          <t xml:space="preserve">  P&amp;L = Seller Proceeds - Cost Basis</t>
        </is>
      </c>
    </row>
    <row r="17">
      <c r="A17" t="inlineStr">
        <is>
          <t xml:space="preserve">  Return % = P&amp;L ÷ Cost Basis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2026-06-12T12:56:11Z</dcterms:created>
  <dcterms:modified xsi:type="dcterms:W3CDTF">2026-06-12T12:56:11Z</dcterms:modified>
</cp:coreProperties>
</file>
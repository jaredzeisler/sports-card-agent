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 - Verify" sheetId="1" state="visible" r:id="rId1"/>
    <sheet name="Unmatched - Enter Cos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2"/>
    </font>
    <font>
      <b val="1"/>
      <color rgb="00FF0000"/>
      <sz val="12"/>
    </font>
    <font>
      <b val="1"/>
      <sz val="14"/>
    </font>
    <font>
      <b val="1"/>
      <color rgb="00FF0000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4" fontId="0" fillId="0" borderId="0" pivotButton="0" quotePrefix="0" xfId="0"/>
    <xf numFmtId="0" fontId="0" fillId="3" borderId="0" pivotButton="0" quotePrefix="0" xfId="0"/>
    <xf numFmtId="4" fontId="2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4" fontId="2" fillId="0" borderId="0" pivotButton="0" quotePrefix="0" xfId="0"/>
    <xf numFmtId="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4" fontId="3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30" customWidth="1" min="3" max="3"/>
    <col width="16" customWidth="1" min="4" max="4"/>
    <col width="14" customWidth="1" min="5" max="5"/>
    <col width="60" customWidth="1" min="6" max="6"/>
    <col width="12" customWidth="1" min="7" max="7"/>
    <col width="6" customWidth="1" min="8" max="8"/>
    <col width="1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#</t>
        </is>
      </c>
      <c r="B1" s="1" t="inlineStr">
        <is>
          <t>Goldin Card</t>
        </is>
      </c>
      <c r="C1" s="1" t="inlineStr">
        <is>
          <t>Auction</t>
        </is>
      </c>
      <c r="D1" s="1" t="inlineStr">
        <is>
          <t>Goldin Final (w/BP)</t>
        </is>
      </c>
      <c r="E1" s="1" t="inlineStr">
        <is>
          <t>Seller Proceeds</t>
        </is>
      </c>
      <c r="F1" s="1" t="inlineStr">
        <is>
          <t>Matched eBay Purchase</t>
        </is>
      </c>
      <c r="G1" s="1" t="inlineStr">
        <is>
          <t>eBay Cost</t>
        </is>
      </c>
      <c r="H1" s="1" t="inlineStr">
        <is>
          <t>Score</t>
        </is>
      </c>
      <c r="I1" s="1" t="inlineStr">
        <is>
          <t>CORRECTED COST</t>
        </is>
      </c>
      <c r="J1" s="1" t="inlineStr">
        <is>
          <t>Final Cost</t>
        </is>
      </c>
      <c r="K1" s="1" t="inlineStr">
        <is>
          <t>P&amp;L</t>
        </is>
      </c>
      <c r="L1" s="1" t="inlineStr">
        <is>
          <t>Return</t>
        </is>
      </c>
    </row>
    <row r="2">
      <c r="A2" t="n">
        <v>1</v>
      </c>
      <c r="B2" t="inlineStr">
        <is>
          <t>1986-87 Fleer #7 Charles Barkley Signed Rookie Card - PSA Authentic, PSA/DNA Authentic</t>
        </is>
      </c>
      <c r="C2" t="inlineStr">
        <is>
          <t>2026 Weekly Auction Apr 21 - Apr 30</t>
        </is>
      </c>
      <c r="D2" s="2" t="n">
        <v>388</v>
      </c>
      <c r="E2" s="2" t="n">
        <v>365.74</v>
      </c>
      <c r="F2" t="inlineStr">
        <is>
          <t>1986-87 Fleer - Michael Jordan 🐐 #57 (RC) PSA 8 !!! ROOKIE - GORGEOUS !!!</t>
        </is>
      </c>
      <c r="G2" s="2" t="n">
        <v>8500</v>
      </c>
      <c r="H2" s="3" t="n">
        <v>21</v>
      </c>
      <c r="I2" s="4" t="n"/>
      <c r="J2" s="2">
        <f>IF(I2&lt;&gt;"",I2,G2)</f>
        <v/>
      </c>
      <c r="K2" s="2">
        <f>E2-J2</f>
        <v/>
      </c>
      <c r="L2" s="5">
        <f>IF(J2&gt;0,K2/J2,"")</f>
        <v/>
      </c>
    </row>
    <row r="3">
      <c r="A3" t="n">
        <v>2</v>
      </c>
      <c r="B3" t="inlineStr">
        <is>
          <t>2024 Panini NSCC VIP Gold Purple Sparkle #1 Caitlin Clark Rookie Card (#32/49) - PSA NM-MT 8</t>
        </is>
      </c>
      <c r="C3" t="inlineStr">
        <is>
          <t>2026 Weekly Auction Mar 24 - Apr 2</t>
        </is>
      </c>
      <c r="D3" s="2" t="n">
        <v>155</v>
      </c>
      <c r="E3" s="2" t="n">
        <v>146.11</v>
      </c>
      <c r="F3" t="inlineStr">
        <is>
          <t>2024 Select WNBA #38 Caitlin Clark Rookie Purple Memorabilia /49 PSA GEM 10 AUTO</t>
        </is>
      </c>
      <c r="G3" s="2" t="n">
        <v>7000</v>
      </c>
      <c r="H3" s="3" t="n">
        <v>25</v>
      </c>
      <c r="I3" s="4" t="n"/>
      <c r="J3" s="2">
        <f>IF(I3&lt;&gt;"",I3,G3)</f>
        <v/>
      </c>
      <c r="K3" s="2">
        <f>E3-J3</f>
        <v/>
      </c>
      <c r="L3" s="5">
        <f>IF(J3&gt;0,K3/J3,"")</f>
        <v/>
      </c>
    </row>
    <row r="4">
      <c r="A4" t="n">
        <v>3</v>
      </c>
      <c r="B4" t="inlineStr">
        <is>
          <t>2024 Panini Select Sparks Memorabilia Purple Prizm #38 Caitlin Clark Signed Relic Rookie Card (#26/49) - PSA Authentic, PSA/DNA GEM MT 10</t>
        </is>
      </c>
      <c r="C4" t="inlineStr">
        <is>
          <t>2026 Weekly Auction May 12 - May 21</t>
        </is>
      </c>
      <c r="D4" s="2" t="n">
        <v>436</v>
      </c>
      <c r="E4" s="2" t="n">
        <v>410.98</v>
      </c>
      <c r="F4" t="inlineStr">
        <is>
          <t>2024 Select WNBA #38 Caitlin Clark Rookie Purple Memorabilia /49 PSA GEM 10 AUTO</t>
        </is>
      </c>
      <c r="G4" s="2" t="n">
        <v>7000</v>
      </c>
      <c r="H4" s="3" t="n">
        <v>30</v>
      </c>
      <c r="I4" s="4" t="n"/>
      <c r="J4" s="2">
        <f>IF(I4&lt;&gt;"",I4,G4)</f>
        <v/>
      </c>
      <c r="K4" s="2">
        <f>E4-J4</f>
        <v/>
      </c>
      <c r="L4" s="5">
        <f>IF(J4&gt;0,K4/J4,"")</f>
        <v/>
      </c>
    </row>
    <row r="5">
      <c r="A5" t="n">
        <v>4</v>
      </c>
      <c r="B5" t="inlineStr">
        <is>
          <t>2024 Panini Prizm #22 Caitlin Clark Rookie Card - PSA GEM MT 10</t>
        </is>
      </c>
      <c r="C5" t="inlineStr">
        <is>
          <t>2026 Weekly Auction May 5 - May 14</t>
        </is>
      </c>
      <c r="D5" s="2" t="n">
        <v>175</v>
      </c>
      <c r="E5" s="2" t="n">
        <v>164.96</v>
      </c>
      <c r="F5" t="inlineStr">
        <is>
          <t>2024 Panini Prizm WNBA #22 Caitlin Clark Orange Ice Rookie PSA GEM MINT 10 AUTO</t>
        </is>
      </c>
      <c r="G5" s="2" t="n">
        <v>5000</v>
      </c>
      <c r="H5" s="3" t="n">
        <v>23</v>
      </c>
      <c r="I5" s="4" t="n"/>
      <c r="J5" s="2">
        <f>IF(I5&lt;&gt;"",I5,G5)</f>
        <v/>
      </c>
      <c r="K5" s="2">
        <f>E5-J5</f>
        <v/>
      </c>
      <c r="L5" s="5">
        <f>IF(J5&gt;0,K5/J5,"")</f>
        <v/>
      </c>
    </row>
    <row r="6">
      <c r="A6" t="n">
        <v>5</v>
      </c>
      <c r="B6" t="inlineStr">
        <is>
          <t>1997-98 Topps Stadium Club Triumvirate Luminous #T9B Michael Jordan - PSA NM-MT 8</t>
        </is>
      </c>
      <c r="C6" t="inlineStr">
        <is>
          <t>2026 April Elite Auction</t>
        </is>
      </c>
      <c r="D6" s="2" t="n">
        <v>1255</v>
      </c>
      <c r="E6" s="2" t="n">
        <v>1182.99</v>
      </c>
      <c r="F6" t="inlineStr">
        <is>
          <t>1997-98 Stadium Club Triumvirate - Michael Jordan #T9B BGS 9.5</t>
        </is>
      </c>
      <c r="G6" s="2" t="n">
        <v>6000</v>
      </c>
      <c r="H6" s="3" t="n">
        <v>28</v>
      </c>
      <c r="I6" s="4" t="n"/>
      <c r="J6" s="2">
        <f>IF(I6&lt;&gt;"",I6,G6)</f>
        <v/>
      </c>
      <c r="K6" s="2">
        <f>E6-J6</f>
        <v/>
      </c>
      <c r="L6" s="5">
        <f>IF(J6&gt;0,K6/J6,"")</f>
        <v/>
      </c>
    </row>
    <row r="7">
      <c r="A7" t="n">
        <v>6</v>
      </c>
      <c r="B7" t="inlineStr">
        <is>
          <t>2024 Panini Prizm WNBA Blue Velocity Prizm #22 Caitlin Clark Rookie Card - PSA GEM MT 10</t>
        </is>
      </c>
      <c r="C7" t="inlineStr">
        <is>
          <t>2026 Weekly Auction May 5 - May 14</t>
        </is>
      </c>
      <c r="D7" s="2" t="n">
        <v>350</v>
      </c>
      <c r="E7" s="2" t="n">
        <v>329.92</v>
      </c>
      <c r="F7" t="inlineStr">
        <is>
          <t>2024 Panini Prizm WNBA #22 Caitlin Clark Orange Ice Rookie PSA GEM MINT 10 AUTO</t>
        </is>
      </c>
      <c r="G7" s="2" t="n">
        <v>5000</v>
      </c>
      <c r="H7" s="3" t="n">
        <v>23</v>
      </c>
      <c r="I7" s="4" t="n"/>
      <c r="J7" s="2">
        <f>IF(I7&lt;&gt;"",I7,G7)</f>
        <v/>
      </c>
      <c r="K7" s="2">
        <f>E7-J7</f>
        <v/>
      </c>
      <c r="L7" s="5">
        <f>IF(J7&gt;0,K7/J7,"")</f>
        <v/>
      </c>
    </row>
    <row r="8">
      <c r="A8" t="n">
        <v>7</v>
      </c>
      <c r="B8" t="inlineStr">
        <is>
          <t>2014-15 Upper Deck SP Authentic Immortal Ink #II-JO Michael Jordan Signed Card (#2/3) - BGS GEM MINT 9.5 - Pop 2</t>
        </is>
      </c>
      <c r="C8" t="inlineStr">
        <is>
          <t>2026 April Elite Auction</t>
        </is>
      </c>
      <c r="D8" s="2" t="n">
        <v>8388</v>
      </c>
      <c r="E8" s="2" t="n">
        <v>7906.72</v>
      </c>
      <c r="F8" t="inlineStr">
        <is>
          <t>MICHAEL JORDAN BGS 9.5 2014-15 SP AUTHENTIC #II-JO IMMORTAL INK ON CARD AUTO 2/3</t>
        </is>
      </c>
      <c r="G8" s="2" t="n">
        <v>11700</v>
      </c>
      <c r="H8" s="3" t="n">
        <v>29</v>
      </c>
      <c r="I8" s="4" t="n"/>
      <c r="J8" s="2">
        <f>IF(I8&lt;&gt;"",I8,G8)</f>
        <v/>
      </c>
      <c r="K8" s="2">
        <f>E8-J8</f>
        <v/>
      </c>
      <c r="L8" s="5">
        <f>IF(J8&gt;0,K8/J8,"")</f>
        <v/>
      </c>
    </row>
    <row r="9">
      <c r="A9" t="n">
        <v>8</v>
      </c>
      <c r="B9" t="inlineStr">
        <is>
          <t>2022-23 Panini Flawless Autographs Emerald '25 Black Box #FA-SGA Shai Gilgeous-Alexander Signed Card (#1/1) - Panini Encased</t>
        </is>
      </c>
      <c r="C9" t="inlineStr">
        <is>
          <t>2026 April Elite Auction</t>
        </is>
      </c>
      <c r="D9" s="2" t="n">
        <v>1700</v>
      </c>
      <c r="E9" s="2" t="n">
        <v>1602.46</v>
      </c>
      <c r="F9" t="inlineStr">
        <is>
          <t>SHAI GILGEOUS-ALEXANDER 2018-19 PANINI FLAWLESS #RA-SGA ROOKIE AUTO RUBY RC 9/15</t>
        </is>
      </c>
      <c r="G9" s="2" t="n">
        <v>5100</v>
      </c>
      <c r="H9" s="6" t="n">
        <v>18</v>
      </c>
      <c r="I9" s="4" t="n"/>
      <c r="J9" s="2">
        <f>IF(I9&lt;&gt;"",I9,G9)</f>
        <v/>
      </c>
      <c r="K9" s="2">
        <f>E9-J9</f>
        <v/>
      </c>
      <c r="L9" s="5">
        <f>IF(J9&gt;0,K9/J9,"")</f>
        <v/>
      </c>
    </row>
    <row r="10">
      <c r="A10" t="n">
        <v>9</v>
      </c>
      <c r="B10" t="inlineStr">
        <is>
          <t>2001-02 Topps Pristine Refractor #6 Michael Jordan (#21/50) - PSA GEM MT 10</t>
        </is>
      </c>
      <c r="C10" t="inlineStr">
        <is>
          <t>2026 Weekly Auction Mar 31 - Apr 9</t>
        </is>
      </c>
      <c r="D10" s="2" t="n">
        <v>6001</v>
      </c>
      <c r="E10" s="2" t="n">
        <v>5656.68</v>
      </c>
      <c r="F10" t="inlineStr">
        <is>
          <t>1996-97 Finest Michael Jordan W/Coating Gold Refractor #291 Bulls PSA 9</t>
        </is>
      </c>
      <c r="G10" s="2" t="n">
        <v>9005</v>
      </c>
      <c r="H10" s="6" t="n">
        <v>15</v>
      </c>
      <c r="I10" s="4" t="n"/>
      <c r="J10" s="2">
        <f>IF(I10&lt;&gt;"",I10,G10)</f>
        <v/>
      </c>
      <c r="K10" s="2">
        <f>E10-J10</f>
        <v/>
      </c>
      <c r="L10" s="5">
        <f>IF(J10&gt;0,K10/J10,"")</f>
        <v/>
      </c>
    </row>
    <row r="11">
      <c r="A11" t="n">
        <v>10</v>
      </c>
      <c r="B11" t="inlineStr">
        <is>
          <t>2021-22 Panini National Treasures Clutch Factor Signatures #CF-SCU Stephen Curry Signed Relic Card (#09/25) - Panini Encased</t>
        </is>
      </c>
      <c r="C11" t="inlineStr">
        <is>
          <t>2026 March Elite Auction</t>
        </is>
      </c>
      <c r="D11" s="2" t="n">
        <v>1500</v>
      </c>
      <c r="E11" s="2" t="n">
        <v>1413.93</v>
      </c>
      <c r="F11" t="inlineStr">
        <is>
          <t>2023 Panini Flawless Stephen Curry Scoring Title Auto #FST-SCU /25 PSA 9/10</t>
        </is>
      </c>
      <c r="G11" s="2" t="n">
        <v>4350</v>
      </c>
      <c r="H11" s="7" t="n">
        <v>12</v>
      </c>
      <c r="I11" s="4" t="n"/>
      <c r="J11" s="2">
        <f>IF(I11&lt;&gt;"",I11,G11)</f>
        <v/>
      </c>
      <c r="K11" s="2">
        <f>E11-J11</f>
        <v/>
      </c>
      <c r="L11" s="5">
        <f>IF(J11&gt;0,K11/J11,"")</f>
        <v/>
      </c>
    </row>
    <row r="12">
      <c r="A12" t="n">
        <v>11</v>
      </c>
      <c r="B12" t="inlineStr">
        <is>
          <t>2022-23 Panini National Treasures Rookie Patch Autographs Ruby '25 Black Box #110 Paolo Banchero Signed Patch Rookie Card (#1/1) - Panini Encased</t>
        </is>
      </c>
      <c r="C12" t="inlineStr">
        <is>
          <t>2026 April Elite Auction</t>
        </is>
      </c>
      <c r="D12" s="2" t="n">
        <v>1650</v>
      </c>
      <c r="E12" s="2" t="n">
        <v>1555.33</v>
      </c>
      <c r="F12" t="inlineStr">
        <is>
          <t>PAOLO BANCHERO 2022-23 NATIONAL TREASURES #110 ROOKIE PATCH AUTO RPA B/BX 1/1</t>
        </is>
      </c>
      <c r="G12" s="2" t="n">
        <v>4029</v>
      </c>
      <c r="H12" s="3" t="n">
        <v>28</v>
      </c>
      <c r="I12" s="4" t="n"/>
      <c r="J12" s="2">
        <f>IF(I12&lt;&gt;"",I12,G12)</f>
        <v/>
      </c>
      <c r="K12" s="2">
        <f>E12-J12</f>
        <v/>
      </c>
      <c r="L12" s="5">
        <f>IF(J12&gt;0,K12/J12,"")</f>
        <v/>
      </c>
    </row>
    <row r="13">
      <c r="A13" t="n">
        <v>12</v>
      </c>
      <c r="B13" t="inlineStr">
        <is>
          <t>1996-97 Topps NBA Stars Finest #124 Michael Jordan - PSA GEM MT 10</t>
        </is>
      </c>
      <c r="C13" t="inlineStr">
        <is>
          <t>2026 April Elite Auction</t>
        </is>
      </c>
      <c r="D13" s="2" t="n">
        <v>700</v>
      </c>
      <c r="E13" s="2" t="n">
        <v>659.84</v>
      </c>
      <c r="F13" t="inlineStr">
        <is>
          <t>1996 Topps Stars Michael Jordan Finest Refractor #124 PSA 10</t>
        </is>
      </c>
      <c r="G13" s="2" t="n">
        <v>3050</v>
      </c>
      <c r="H13" s="3" t="n">
        <v>21</v>
      </c>
      <c r="I13" s="4" t="n"/>
      <c r="J13" s="2">
        <f>IF(I13&lt;&gt;"",I13,G13)</f>
        <v/>
      </c>
      <c r="K13" s="2">
        <f>E13-J13</f>
        <v/>
      </c>
      <c r="L13" s="5">
        <f>IF(J13&gt;0,K13/J13,"")</f>
        <v/>
      </c>
    </row>
    <row r="14">
      <c r="A14" t="n">
        <v>13</v>
      </c>
      <c r="B14" t="inlineStr">
        <is>
          <t>1986-87 Fleer #57 Michael Jordan Rookie Card - PSA NM-MT 8 (OC)</t>
        </is>
      </c>
      <c r="C14" t="inlineStr">
        <is>
          <t>2026 April Elite Auction</t>
        </is>
      </c>
      <c r="D14" s="2" t="n">
        <v>6500</v>
      </c>
      <c r="E14" s="2" t="n">
        <v>6127.05</v>
      </c>
      <c r="F14" t="inlineStr">
        <is>
          <t>1986-87 Fleer - Michael Jordan 🐐 #57 (RC) PSA 8 !!! ROOKIE - GORGEOUS !!!</t>
        </is>
      </c>
      <c r="G14" s="2" t="n">
        <v>8500</v>
      </c>
      <c r="H14" s="3" t="n">
        <v>25</v>
      </c>
      <c r="I14" s="4" t="n"/>
      <c r="J14" s="2">
        <f>IF(I14&lt;&gt;"",I14,G14)</f>
        <v/>
      </c>
      <c r="K14" s="2">
        <f>E14-J14</f>
        <v/>
      </c>
      <c r="L14" s="5">
        <f>IF(J14&gt;0,K14/J14,"")</f>
        <v/>
      </c>
    </row>
    <row r="15">
      <c r="A15" t="n">
        <v>14</v>
      </c>
      <c r="B15" t="inlineStr">
        <is>
          <t>2023-24 Panini Flawless Scoring Title Autographs #FST-SCU Stephen Curry Signed Card (#14/25) - PSA MINT 9, PSA/DNA GEM MT 10</t>
        </is>
      </c>
      <c r="C15" t="inlineStr">
        <is>
          <t>2026 March Elite Auction</t>
        </is>
      </c>
      <c r="D15" s="2" t="n">
        <v>2188</v>
      </c>
      <c r="E15" s="2" t="n">
        <v>2062.46</v>
      </c>
      <c r="F15" t="inlineStr">
        <is>
          <t>2023 Panini Flawless Stephen Curry Scoring Title Auto #FST-SCU /25 PSA 9/10</t>
        </is>
      </c>
      <c r="G15" s="2" t="n">
        <v>4350</v>
      </c>
      <c r="H15" s="3" t="n">
        <v>25</v>
      </c>
      <c r="I15" s="4" t="n"/>
      <c r="J15" s="2">
        <f>IF(I15&lt;&gt;"",I15,G15)</f>
        <v/>
      </c>
      <c r="K15" s="2">
        <f>E15-J15</f>
        <v/>
      </c>
      <c r="L15" s="5">
        <f>IF(J15&gt;0,K15/J15,"")</f>
        <v/>
      </c>
    </row>
    <row r="16">
      <c r="A16" t="n">
        <v>15</v>
      </c>
      <c r="B16" t="inlineStr">
        <is>
          <t>2021-22 Panini Flawless 75th Team Autographs '24 Black Box #75A-SCU Stephen Curry Signed Card (#1/1) - Panini Encased</t>
        </is>
      </c>
      <c r="C16" t="inlineStr">
        <is>
          <t>2026 April Elite Auction</t>
        </is>
      </c>
      <c r="D16" s="2" t="n">
        <v>2522</v>
      </c>
      <c r="E16" s="2" t="n">
        <v>2377.3</v>
      </c>
      <c r="F16" t="inlineStr">
        <is>
          <t>2023 Panini Flawless Stephen Curry Scoring Title Auto #FST-SCU /25 PSA 9/10</t>
        </is>
      </c>
      <c r="G16" s="2" t="n">
        <v>4350</v>
      </c>
      <c r="H16" s="6" t="n">
        <v>16</v>
      </c>
      <c r="I16" s="4" t="n"/>
      <c r="J16" s="2">
        <f>IF(I16&lt;&gt;"",I16,G16)</f>
        <v/>
      </c>
      <c r="K16" s="2">
        <f>E16-J16</f>
        <v/>
      </c>
      <c r="L16" s="5">
        <f>IF(J16&gt;0,K16/J16,"")</f>
        <v/>
      </c>
    </row>
    <row r="17">
      <c r="A17" t="n">
        <v>16</v>
      </c>
      <c r="B17" t="inlineStr">
        <is>
          <t>2018-19 Panini Spectra Neon Pink #6 Luka Doncic (#08/25) - PSA MINT 9</t>
        </is>
      </c>
      <c r="C17" t="inlineStr">
        <is>
          <t>2026 Weekly Auction Mar 24 - Apr 2</t>
        </is>
      </c>
      <c r="D17" s="2" t="n">
        <v>450</v>
      </c>
      <c r="E17" s="2" t="n">
        <v>424.18</v>
      </c>
      <c r="F17" t="inlineStr">
        <is>
          <t>LUKA DONCIC 2018-19 PANINI PRIZM ROOKIE SIGNATURES AUTO 10 RC BGS 9.5 Q2167</t>
        </is>
      </c>
      <c r="G17" s="2" t="n">
        <v>2050</v>
      </c>
      <c r="H17" s="6" t="n">
        <v>19</v>
      </c>
      <c r="I17" s="4" t="n"/>
      <c r="J17" s="2">
        <f>IF(I17&lt;&gt;"",I17,G17)</f>
        <v/>
      </c>
      <c r="K17" s="2">
        <f>E17-J17</f>
        <v/>
      </c>
      <c r="L17" s="5">
        <f>IF(J17&gt;0,K17/J17,"")</f>
        <v/>
      </c>
    </row>
    <row r="18">
      <c r="A18" t="n">
        <v>17</v>
      </c>
      <c r="B18" t="inlineStr">
        <is>
          <t>2012-13 Panini Crusade Prizm Green &amp; Gold #142 Yao Ming (#02/25) - PSA GEM MT 10</t>
        </is>
      </c>
      <c r="C18" t="inlineStr">
        <is>
          <t>2026 Weekly Auction Mar 24 - Apr 2</t>
        </is>
      </c>
      <c r="D18" s="2" t="n">
        <v>81</v>
      </c>
      <c r="E18" s="2" t="n">
        <v>76.34999999999999</v>
      </c>
      <c r="F18" t="inlineStr">
        <is>
          <t>2013-14 Panini Prizm - Autographs Kevin Durant #142 Blue Prizm /5 (AU)</t>
        </is>
      </c>
      <c r="G18" s="2" t="n">
        <v>1600</v>
      </c>
      <c r="H18" s="7" t="n">
        <v>13</v>
      </c>
      <c r="I18" s="4" t="n"/>
      <c r="J18" s="2">
        <f>IF(I18&lt;&gt;"",I18,G18)</f>
        <v/>
      </c>
      <c r="K18" s="2">
        <f>E18-J18</f>
        <v/>
      </c>
      <c r="L18" s="5">
        <f>IF(J18&gt;0,K18/J18,"")</f>
        <v/>
      </c>
    </row>
    <row r="19">
      <c r="A19" t="n">
        <v>18</v>
      </c>
      <c r="B19" t="inlineStr">
        <is>
          <t>2016-17 Panini Donruss Optic Dominator Signatures Gold Vinyl #17 Jeremy Lin Signed Card (#1/1) - BGS PRISTINE 10, Beckett 10</t>
        </is>
      </c>
      <c r="C19" t="inlineStr">
        <is>
          <t>2026 Weekly Auction Mar 24 - Apr 2</t>
        </is>
      </c>
      <c r="D19" s="2" t="n">
        <v>1950</v>
      </c>
      <c r="E19" s="2" t="n">
        <v>1838.11</v>
      </c>
      <c r="F19" t="inlineStr">
        <is>
          <t>2016-17 Donruss Optic Stephen Curry All Stars Pristine Gold #10/10 BGS 10</t>
        </is>
      </c>
      <c r="G19" s="2" t="n">
        <v>3260</v>
      </c>
      <c r="H19" s="3" t="n">
        <v>25</v>
      </c>
      <c r="I19" s="4" t="n"/>
      <c r="J19" s="2">
        <f>IF(I19&lt;&gt;"",I19,G19)</f>
        <v/>
      </c>
      <c r="K19" s="2">
        <f>E19-J19</f>
        <v/>
      </c>
      <c r="L19" s="5">
        <f>IF(J19&gt;0,K19/J19,"")</f>
        <v/>
      </c>
    </row>
    <row r="20">
      <c r="A20" t="n">
        <v>19</v>
      </c>
      <c r="B20" t="inlineStr">
        <is>
          <t>2023-24 Panini Immaculate Collection Patch Autographs Gold #IPA-SGA Shai Gilgeous-Alexander Signed Patch Card (#02/10) - Jersey Number - PSA Authentic, PSA/DNA GEM MT 10</t>
        </is>
      </c>
      <c r="C20" t="inlineStr">
        <is>
          <t>2026 Weekly Auction Mar 24 - Apr 2</t>
        </is>
      </c>
      <c r="D20" s="2" t="n">
        <v>2511</v>
      </c>
      <c r="E20" s="2" t="n">
        <v>2366.93</v>
      </c>
      <c r="F20" t="inlineStr">
        <is>
          <t>Shai Gilgeous Alexander Immaculate rc rookie SGA auto /99</t>
        </is>
      </c>
      <c r="G20" s="2" t="n">
        <v>3725</v>
      </c>
      <c r="H20" s="6" t="n">
        <v>15</v>
      </c>
      <c r="I20" s="4" t="n"/>
      <c r="J20" s="2">
        <f>IF(I20&lt;&gt;"",I20,G20)</f>
        <v/>
      </c>
      <c r="K20" s="2">
        <f>E20-J20</f>
        <v/>
      </c>
      <c r="L20" s="5">
        <f>IF(J20&gt;0,K20/J20,"")</f>
        <v/>
      </c>
    </row>
    <row r="21">
      <c r="A21" t="n">
        <v>20</v>
      </c>
      <c r="B21" t="inlineStr">
        <is>
          <t>2021-22 Panini Flawless Horizontal Patch Autograph Ruby #HPA-SGA Shai Gilgeous-Alexander Signed Patch Card (#09/15) - PSA NM-MT 8, PSA/DNA NM-MT 8</t>
        </is>
      </c>
      <c r="C21" t="inlineStr">
        <is>
          <t>2026 March Elite Auction</t>
        </is>
      </c>
      <c r="D21" s="2" t="n">
        <v>4000</v>
      </c>
      <c r="E21" s="2" t="n">
        <v>3770.49</v>
      </c>
      <c r="F21" t="inlineStr">
        <is>
          <t>SHAI GILGEOUS-ALEXANDER 2018-19 PANINI FLAWLESS #RA-SGA ROOKIE AUTO RUBY RC 9/15</t>
        </is>
      </c>
      <c r="G21" s="2" t="n">
        <v>5100</v>
      </c>
      <c r="H21" s="6" t="n">
        <v>18</v>
      </c>
      <c r="I21" s="4" t="n"/>
      <c r="J21" s="2">
        <f>IF(I21&lt;&gt;"",I21,G21)</f>
        <v/>
      </c>
      <c r="K21" s="2">
        <f>E21-J21</f>
        <v/>
      </c>
      <c r="L21" s="5">
        <f>IF(J21&gt;0,K21/J21,"")</f>
        <v/>
      </c>
    </row>
    <row r="22">
      <c r="A22" t="n">
        <v>21</v>
      </c>
      <c r="B22" t="inlineStr">
        <is>
          <t>2024-25 Panini Eminence Peerless Patch Autographs Platinum #PPA-MOB Evan Mobley Signed Patch Card (#1/1) - Panini Encased</t>
        </is>
      </c>
      <c r="C22" t="inlineStr">
        <is>
          <t>2026 Weekly Auction Mar 10 - Mar 19</t>
        </is>
      </c>
      <c r="D22" s="2" t="n">
        <v>1700</v>
      </c>
      <c r="E22" s="2" t="n">
        <v>1602.46</v>
      </c>
      <c r="F22" t="inlineStr">
        <is>
          <t>EVAN MOBLEY 2024-25 PANINI EMINENCE PEERLESS GU LOGO PATCH AUTO PLATINUM 1/1</t>
        </is>
      </c>
      <c r="G22" s="2" t="n">
        <v>2729</v>
      </c>
      <c r="H22" s="3" t="n">
        <v>28</v>
      </c>
      <c r="I22" s="4" t="n"/>
      <c r="J22" s="2">
        <f>IF(I22&lt;&gt;"",I22,G22)</f>
        <v/>
      </c>
      <c r="K22" s="2">
        <f>E22-J22</f>
        <v/>
      </c>
      <c r="L22" s="5">
        <f>IF(J22&gt;0,K22/J22,"")</f>
        <v/>
      </c>
    </row>
    <row r="23">
      <c r="A23" t="n">
        <v>22</v>
      </c>
      <c r="B23" t="inlineStr">
        <is>
          <t>2023-24 Topps Mercury Gold Refractor #19 Victor Wembanyama Rookie Card (#12/50) - PSA GEM MT 10</t>
        </is>
      </c>
      <c r="C23" t="inlineStr">
        <is>
          <t>2026 Weekly Auction Mar 24 - Apr 2</t>
        </is>
      </c>
      <c r="D23" s="2" t="n">
        <v>1135</v>
      </c>
      <c r="E23" s="2" t="n">
        <v>1069.88</v>
      </c>
      <c r="F23" t="inlineStr">
        <is>
          <t>2023-24 Topps Chrome Victor Wembanyama 1972 Auto Gold Refractor RC #4/50 Spurs</t>
        </is>
      </c>
      <c r="G23" s="2" t="n">
        <v>2025</v>
      </c>
      <c r="H23" s="3" t="n">
        <v>24</v>
      </c>
      <c r="I23" s="4" t="n"/>
      <c r="J23" s="2">
        <f>IF(I23&lt;&gt;"",I23,G23)</f>
        <v/>
      </c>
      <c r="K23" s="2">
        <f>E23-J23</f>
        <v/>
      </c>
      <c r="L23" s="5">
        <f>IF(J23&gt;0,K23/J23,"")</f>
        <v/>
      </c>
    </row>
    <row r="24">
      <c r="A24" t="n">
        <v>23</v>
      </c>
      <c r="B24" t="inlineStr">
        <is>
          <t>2009-10 Topps #321 Stephen Curry Rookie Card - PSA NM-MT 8</t>
        </is>
      </c>
      <c r="C24" t="inlineStr">
        <is>
          <t>2026 Weekly Auction Mar 24 - Apr 2</t>
        </is>
      </c>
      <c r="D24" s="2" t="n">
        <v>1553</v>
      </c>
      <c r="E24" s="2" t="n">
        <v>1463.89</v>
      </c>
      <c r="F24" t="inlineStr">
        <is>
          <t>STEPHEN CURRY 2009-10 TOPPS ROOKIE CARD #321 NM-MT PSA 8 WARRIORS RC</t>
        </is>
      </c>
      <c r="G24" s="2" t="n">
        <v>2400</v>
      </c>
      <c r="H24" s="3" t="n">
        <v>20</v>
      </c>
      <c r="I24" s="4" t="n"/>
      <c r="J24" s="2">
        <f>IF(I24&lt;&gt;"",I24,G24)</f>
        <v/>
      </c>
      <c r="K24" s="2">
        <f>E24-J24</f>
        <v/>
      </c>
      <c r="L24" s="5">
        <f>IF(J24&gt;0,K24/J24,"")</f>
        <v/>
      </c>
    </row>
    <row r="25">
      <c r="A25" t="n">
        <v>24</v>
      </c>
      <c r="B25" t="inlineStr">
        <is>
          <t>2021-22 Panini Flawless Update '20-21 Flawless USA Autographs Amethyst #USA-CUR Stephen Curry Signed Card (#2/3) - Panini Encased</t>
        </is>
      </c>
      <c r="C25" t="inlineStr">
        <is>
          <t>2026 April Elite Auction</t>
        </is>
      </c>
      <c r="D25" s="2" t="n">
        <v>2500</v>
      </c>
      <c r="E25" s="2" t="n">
        <v>2356.56</v>
      </c>
      <c r="F25" t="inlineStr">
        <is>
          <t>2020-21 Panini Flawless Stephen Curry #USA-CUR Amethyst USA Basketball Auto /3</t>
        </is>
      </c>
      <c r="G25" s="2" t="n">
        <v>3250</v>
      </c>
      <c r="H25" s="3" t="n">
        <v>23</v>
      </c>
      <c r="I25" s="4" t="n"/>
      <c r="J25" s="2">
        <f>IF(I25&lt;&gt;"",I25,G25)</f>
        <v/>
      </c>
      <c r="K25" s="2">
        <f>E25-J25</f>
        <v/>
      </c>
      <c r="L25" s="5">
        <f>IF(J25&gt;0,K25/J25,"")</f>
        <v/>
      </c>
    </row>
    <row r="26">
      <c r="A26" t="n">
        <v>25</v>
      </c>
      <c r="B26" t="inlineStr">
        <is>
          <t>2024-25 Panini Eminence NBA 75th Team Autographs #NBA-KEV Kevin Garnett Signed Card (#06/10) - Panini Encased</t>
        </is>
      </c>
      <c r="C26" t="inlineStr">
        <is>
          <t>2026 Weekly Auction Apr 21 - Apr 30</t>
        </is>
      </c>
      <c r="D26" s="2" t="n">
        <v>351</v>
      </c>
      <c r="E26" s="2" t="n">
        <v>330.86</v>
      </c>
      <c r="F26" t="inlineStr">
        <is>
          <t>1/3 ≈1/1 2024-25 Panini Eminence Kevin Garnett Emerald NBA 75th Anniversary Auto</t>
        </is>
      </c>
      <c r="G26" s="2" t="n">
        <v>1190</v>
      </c>
      <c r="H26" s="3" t="n">
        <v>20</v>
      </c>
      <c r="I26" s="4" t="n"/>
      <c r="J26" s="2">
        <f>IF(I26&lt;&gt;"",I26,G26)</f>
        <v/>
      </c>
      <c r="K26" s="2">
        <f>E26-J26</f>
        <v/>
      </c>
      <c r="L26" s="5">
        <f>IF(J26&gt;0,K26/J26,"")</f>
        <v/>
      </c>
    </row>
    <row r="27">
      <c r="A27" t="n">
        <v>26</v>
      </c>
      <c r="B27" t="inlineStr">
        <is>
          <t>2020-21 Panini Origins Rookie Jersey Autograph Gold #RJA-MAX Tyrese Maxey Signed Patch Rookie Card (#06/10) - PSA GEM MT 10 - Pop 1</t>
        </is>
      </c>
      <c r="C27" t="inlineStr">
        <is>
          <t>2026 April Elite Auction</t>
        </is>
      </c>
      <c r="D27" s="2" t="n">
        <v>955</v>
      </c>
      <c r="E27" s="2" t="n">
        <v>900.2</v>
      </c>
      <c r="F27" t="inlineStr">
        <is>
          <t>2020-21 Panini Origins Gold Tyrese Maxey Rookie PATCH AUTO 10 76ERS PSA 10 Pop 1</t>
        </is>
      </c>
      <c r="G27" s="2" t="n">
        <v>1750</v>
      </c>
      <c r="H27" s="3" t="n">
        <v>23</v>
      </c>
      <c r="I27" s="4" t="n"/>
      <c r="J27" s="2">
        <f>IF(I27&lt;&gt;"",I27,G27)</f>
        <v/>
      </c>
      <c r="K27" s="2">
        <f>E27-J27</f>
        <v/>
      </c>
      <c r="L27" s="5">
        <f>IF(J27&gt;0,K27/J27,"")</f>
        <v/>
      </c>
    </row>
    <row r="28">
      <c r="A28" t="n">
        <v>27</v>
      </c>
      <c r="B28" t="inlineStr">
        <is>
          <t>2024 Panini Select WNBA Zebra Prizm #72 Caitlin Clark Rookie Card - PSA MINT 9</t>
        </is>
      </c>
      <c r="C28" t="inlineStr">
        <is>
          <t>2026 April Elite Auction</t>
        </is>
      </c>
      <c r="D28" s="2" t="n">
        <v>900</v>
      </c>
      <c r="E28" s="2" t="n">
        <v>848.36</v>
      </c>
      <c r="F28" t="inlineStr">
        <is>
          <t>2024 PANINI SELECT WNBA ZEBRA PRIZM #72 CAITLIN CLARK ROOKIE RC PSA 9</t>
        </is>
      </c>
      <c r="G28" s="2" t="n">
        <v>1613</v>
      </c>
      <c r="H28" s="3" t="n">
        <v>27</v>
      </c>
      <c r="I28" s="4" t="n"/>
      <c r="J28" s="2">
        <f>IF(I28&lt;&gt;"",I28,G28)</f>
        <v/>
      </c>
      <c r="K28" s="2">
        <f>E28-J28</f>
        <v/>
      </c>
      <c r="L28" s="5">
        <f>IF(J28&gt;0,K28/J28,"")</f>
        <v/>
      </c>
    </row>
    <row r="29">
      <c r="A29" t="n">
        <v>28</v>
      </c>
      <c r="B29" t="inlineStr">
        <is>
          <t>2015-16 Panini Immaculate Collection Autographs Red #27 Nikola Jokic Signed Rookie Card (#02/25) - PSA Authentic, PSA/DNA MINT 9</t>
        </is>
      </c>
      <c r="C29" t="inlineStr">
        <is>
          <t>2026 April Elite Auction</t>
        </is>
      </c>
      <c r="D29" s="2" t="n">
        <v>1300</v>
      </c>
      <c r="E29" s="2" t="n">
        <v>1225.41</v>
      </c>
      <c r="F29" t="inlineStr">
        <is>
          <t>NIKOLA JOKIC 2015-16 PANINI IMMACULATE COLL #27 RC AUTO RED!! 2/25! PSA READ</t>
        </is>
      </c>
      <c r="G29" s="2" t="n">
        <v>1985</v>
      </c>
      <c r="H29" s="3" t="n">
        <v>26</v>
      </c>
      <c r="I29" s="4" t="n"/>
      <c r="J29" s="2">
        <f>IF(I29&lt;&gt;"",I29,G29)</f>
        <v/>
      </c>
      <c r="K29" s="2">
        <f>E29-J29</f>
        <v/>
      </c>
      <c r="L29" s="5">
        <f>IF(J29&gt;0,K29/J29,"")</f>
        <v/>
      </c>
    </row>
    <row r="30">
      <c r="A30" t="n">
        <v>29</v>
      </c>
      <c r="B30" t="inlineStr">
        <is>
          <t>2021-22 Panini Prizm Tiger Stripes Choice Prizm #37 Anthony Edwards - PSA GEM MT 10</t>
        </is>
      </c>
      <c r="C30" t="inlineStr">
        <is>
          <t>2026 Weekly Auction Mar 31 - Apr 9</t>
        </is>
      </c>
      <c r="D30" s="2" t="n">
        <v>1500</v>
      </c>
      <c r="E30" s="2" t="n">
        <v>1413.93</v>
      </c>
      <c r="F30" t="inlineStr">
        <is>
          <t>Anthony Edwards PSA 10 2021-22 Panini Prizm Choice Tiger Stripe Timberwolves #37</t>
        </is>
      </c>
      <c r="G30" s="2" t="n">
        <v>2136</v>
      </c>
      <c r="H30" s="3" t="n">
        <v>26</v>
      </c>
      <c r="I30" s="4" t="n"/>
      <c r="J30" s="2">
        <f>IF(I30&lt;&gt;"",I30,G30)</f>
        <v/>
      </c>
      <c r="K30" s="2">
        <f>E30-J30</f>
        <v/>
      </c>
      <c r="L30" s="5">
        <f>IF(J30&gt;0,K30/J30,"")</f>
        <v/>
      </c>
    </row>
    <row r="31">
      <c r="A31" t="n">
        <v>30</v>
      </c>
      <c r="B31" t="inlineStr">
        <is>
          <t>2024-25 Panini Eminence NBA 75th Team Autographs Emerald #NBA-KEV Kevin Garnett Signed Card (#1/3) - Panini Encased</t>
        </is>
      </c>
      <c r="C31" t="inlineStr">
        <is>
          <t>2026 April Elite Auction</t>
        </is>
      </c>
      <c r="D31" s="2" t="n">
        <v>511</v>
      </c>
      <c r="E31" s="2" t="n">
        <v>481.68</v>
      </c>
      <c r="F31" t="inlineStr">
        <is>
          <t>1/3 ≈1/1 2024-25 Panini Eminence Kevin Garnett Emerald NBA 75th Anniversary Auto</t>
        </is>
      </c>
      <c r="G31" s="2" t="n">
        <v>1190</v>
      </c>
      <c r="H31" s="3" t="n">
        <v>23</v>
      </c>
      <c r="I31" s="4" t="n"/>
      <c r="J31" s="2">
        <f>IF(I31&lt;&gt;"",I31,G31)</f>
        <v/>
      </c>
      <c r="K31" s="2">
        <f>E31-J31</f>
        <v/>
      </c>
      <c r="L31" s="5">
        <f>IF(J31&gt;0,K31/J31,"")</f>
        <v/>
      </c>
    </row>
    <row r="32">
      <c r="A32" t="n">
        <v>31</v>
      </c>
      <c r="B32" t="inlineStr">
        <is>
          <t>2018-19 Panini Contenders Optic Rookie Ticket Autographs Red #128 Luka Doncic, Dribbling, Signed Rookie Card (#86/99) - Panini Encased</t>
        </is>
      </c>
      <c r="C32" t="inlineStr">
        <is>
          <t>2026 April Elite Auction</t>
        </is>
      </c>
      <c r="D32" s="2" t="n">
        <v>2500</v>
      </c>
      <c r="E32" s="2" t="n">
        <v>2356.56</v>
      </c>
      <c r="F32" t="inlineStr">
        <is>
          <t>2018 Panini Contenders - Luka Doncic Optic Red #128 - Rookie Ticket - AUTO /99</t>
        </is>
      </c>
      <c r="G32" s="2" t="n">
        <v>3050</v>
      </c>
      <c r="H32" s="3" t="n">
        <v>28</v>
      </c>
      <c r="I32" s="4" t="n"/>
      <c r="J32" s="2">
        <f>IF(I32&lt;&gt;"",I32,G32)</f>
        <v/>
      </c>
      <c r="K32" s="2">
        <f>E32-J32</f>
        <v/>
      </c>
      <c r="L32" s="5">
        <f>IF(J32&gt;0,K32/J32,"")</f>
        <v/>
      </c>
    </row>
    <row r="33">
      <c r="A33" t="n">
        <v>32</v>
      </c>
      <c r="B33" t="inlineStr">
        <is>
          <t>1996-97 Topps NBA Stars Finest Refractor #124 Michael Jordan - PSA GEM MT 10</t>
        </is>
      </c>
      <c r="C33" t="inlineStr">
        <is>
          <t>2026 Weekly Auction Mar 31 - Apr 9</t>
        </is>
      </c>
      <c r="D33" s="2" t="n">
        <v>2501</v>
      </c>
      <c r="E33" s="2" t="n">
        <v>2357.5</v>
      </c>
      <c r="F33" t="inlineStr">
        <is>
          <t>1996 Topps Stars Michael Jordan Finest Refractor #124 PSA 10</t>
        </is>
      </c>
      <c r="G33" s="2" t="n">
        <v>3050</v>
      </c>
      <c r="H33" s="3" t="n">
        <v>22</v>
      </c>
      <c r="I33" s="4" t="n"/>
      <c r="J33" s="2">
        <f>IF(I33&lt;&gt;"",I33,G33)</f>
        <v/>
      </c>
      <c r="K33" s="2">
        <f>E33-J33</f>
        <v/>
      </c>
      <c r="L33" s="5">
        <f>IF(J33&gt;0,K33/J33,"")</f>
        <v/>
      </c>
    </row>
    <row r="34">
      <c r="A34" t="n">
        <v>33</v>
      </c>
      <c r="B34" t="inlineStr">
        <is>
          <t>1997-98 SkyBox Hoops High Voltage #14 Michael Jordan - PSA MINT 9</t>
        </is>
      </c>
      <c r="C34" t="inlineStr">
        <is>
          <t>2026 April Elite Auction</t>
        </is>
      </c>
      <c r="D34" s="2" t="n">
        <v>3250</v>
      </c>
      <c r="E34" s="2" t="n">
        <v>3063.52</v>
      </c>
      <c r="F34" t="inlineStr">
        <is>
          <t>1997 Hoops MICHAEL JORDAN #14 High Voltage SSP PSA 9 Mint Only 18 Graded Higher!</t>
        </is>
      </c>
      <c r="G34" s="2" t="n">
        <v>3750</v>
      </c>
      <c r="H34" s="3" t="n">
        <v>23</v>
      </c>
      <c r="I34" s="4" t="n"/>
      <c r="J34" s="2">
        <f>IF(I34&lt;&gt;"",I34,G34)</f>
        <v/>
      </c>
      <c r="K34" s="2">
        <f>E34-J34</f>
        <v/>
      </c>
      <c r="L34" s="5">
        <f>IF(J34&gt;0,K34/J34,"")</f>
        <v/>
      </c>
    </row>
    <row r="35">
      <c r="A35" t="n">
        <v>34</v>
      </c>
      <c r="B35" t="inlineStr">
        <is>
          <t>2025-26 Topps All Kings #AK-10 Donovan Mitchell - PSA NM-MT 8</t>
        </is>
      </c>
      <c r="C35" t="inlineStr">
        <is>
          <t>2026 Weekly Auction Mar 3 - Mar 12</t>
        </is>
      </c>
      <c r="D35" s="2" t="n">
        <v>153</v>
      </c>
      <c r="E35" s="2" t="n">
        <v>144.22</v>
      </c>
      <c r="F35" t="inlineStr">
        <is>
          <t>2025 Topps PSA 10 Vladimir Guerrero Jr ALL KINGS Case Hit #AK-10 Blue Jays</t>
        </is>
      </c>
      <c r="G35" s="2" t="n">
        <v>750</v>
      </c>
      <c r="H35" s="7" t="n">
        <v>14</v>
      </c>
      <c r="I35" s="4" t="n"/>
      <c r="J35" s="2">
        <f>IF(I35&lt;&gt;"",I35,G35)</f>
        <v/>
      </c>
      <c r="K35" s="2">
        <f>E35-J35</f>
        <v/>
      </c>
      <c r="L35" s="5">
        <f>IF(J35&gt;0,K35/J35,"")</f>
        <v/>
      </c>
    </row>
    <row r="36">
      <c r="A36" t="n">
        <v>35</v>
      </c>
      <c r="B36" t="inlineStr">
        <is>
          <t>2025-26 Panini Instant Autograph #1 VJ Edgecombe Signed Rookie Card (#61/99) - Panini Encased</t>
        </is>
      </c>
      <c r="C36" t="inlineStr">
        <is>
          <t>2026 Weekly Auction Apr 21 - Apr 30</t>
        </is>
      </c>
      <c r="D36" s="2" t="n">
        <v>340</v>
      </c>
      <c r="E36" s="2" t="n">
        <v>320.49</v>
      </c>
      <c r="F36" t="inlineStr">
        <is>
          <t>2025-26 Panini Instant #1 VJ Edgecombe Nba 76ers Rookie Debut Auto To /99 SP</t>
        </is>
      </c>
      <c r="G36" s="2" t="n">
        <v>875</v>
      </c>
      <c r="H36" s="3" t="n">
        <v>24</v>
      </c>
      <c r="I36" s="4" t="n"/>
      <c r="J36" s="2">
        <f>IF(I36&lt;&gt;"",I36,G36)</f>
        <v/>
      </c>
      <c r="K36" s="2">
        <f>E36-J36</f>
        <v/>
      </c>
      <c r="L36" s="5">
        <f>IF(J36&gt;0,K36/J36,"")</f>
        <v/>
      </c>
    </row>
    <row r="37">
      <c r="A37" t="n">
        <v>36</v>
      </c>
      <c r="B37" t="inlineStr">
        <is>
          <t>2022-23 Bowman University Best of 2022 Autograph #BOA-CC Caitlin Clark Signed Rookie Card - PSA GEM MT 10</t>
        </is>
      </c>
      <c r="C37" t="inlineStr">
        <is>
          <t>2026 April Elite Auction</t>
        </is>
      </c>
      <c r="D37" s="2" t="n">
        <v>1100</v>
      </c>
      <c r="E37" s="2" t="n">
        <v>1036.89</v>
      </c>
      <c r="F37" t="inlineStr">
        <is>
          <t>2022-23 Bowman University Best Caitlin Clark Best of 2022 Auto #BOA-CC PSA 10</t>
        </is>
      </c>
      <c r="G37" s="2" t="n">
        <v>1569</v>
      </c>
      <c r="H37" s="3" t="n">
        <v>29</v>
      </c>
      <c r="I37" s="4" t="n"/>
      <c r="J37" s="2">
        <f>IF(I37&lt;&gt;"",I37,G37)</f>
        <v/>
      </c>
      <c r="K37" s="2">
        <f>E37-J37</f>
        <v/>
      </c>
      <c r="L37" s="5">
        <f>IF(J37&gt;0,K37/J37,"")</f>
        <v/>
      </c>
    </row>
    <row r="38">
      <c r="A38" t="n">
        <v>37</v>
      </c>
      <c r="B38" t="inlineStr">
        <is>
          <t>2025-26 Panini Instant Autograph #1 VJ Edgecombe Signed Rookie Card (#69/99) - Panini Encased</t>
        </is>
      </c>
      <c r="C38" t="inlineStr">
        <is>
          <t>2026 Weekly Auction Apr 28 - May 7</t>
        </is>
      </c>
      <c r="D38" s="2" t="n">
        <v>375</v>
      </c>
      <c r="E38" s="2" t="n">
        <v>353.48</v>
      </c>
      <c r="F38" t="inlineStr">
        <is>
          <t>2025-26 Panini Instant #1 VJ Edgecombe Nba 76ers Rookie Debut Auto To /99 SP</t>
        </is>
      </c>
      <c r="G38" s="2" t="n">
        <v>875</v>
      </c>
      <c r="H38" s="3" t="n">
        <v>24</v>
      </c>
      <c r="I38" s="4" t="n"/>
      <c r="J38" s="2">
        <f>IF(I38&lt;&gt;"",I38,G38)</f>
        <v/>
      </c>
      <c r="K38" s="2">
        <f>E38-J38</f>
        <v/>
      </c>
      <c r="L38" s="5">
        <f>IF(J38&gt;0,K38/J38,"")</f>
        <v/>
      </c>
    </row>
    <row r="39">
      <c r="A39" t="n">
        <v>38</v>
      </c>
      <c r="B39" t="inlineStr">
        <is>
          <t>2025-26 Topps Chrome #251 Cooper Flagg Rookie Card - PSA GEM MT 10</t>
        </is>
      </c>
      <c r="C39" t="inlineStr">
        <is>
          <t>2026 Weekly Auction Mar 31 - Apr 9</t>
        </is>
      </c>
      <c r="D39" s="2" t="n">
        <v>325</v>
      </c>
      <c r="E39" s="2" t="n">
        <v>306.35</v>
      </c>
      <c r="F39" t="inlineStr">
        <is>
          <t>2025-26 Topps Chrome Cooper Flagg #251 RC Rookie Card - PSA 10 Gem Mint</t>
        </is>
      </c>
      <c r="G39" s="2" t="n">
        <v>799</v>
      </c>
      <c r="H39" s="3" t="n">
        <v>25</v>
      </c>
      <c r="I39" s="4" t="n"/>
      <c r="J39" s="2">
        <f>IF(I39&lt;&gt;"",I39,G39)</f>
        <v/>
      </c>
      <c r="K39" s="2">
        <f>E39-J39</f>
        <v/>
      </c>
      <c r="L39" s="5">
        <f>IF(J39&gt;0,K39/J39,"")</f>
        <v/>
      </c>
    </row>
    <row r="40">
      <c r="A40" t="n">
        <v>39</v>
      </c>
      <c r="B40" t="inlineStr">
        <is>
          <t>1986 Star #6 Michael Jordan - BGS NM-MT 8</t>
        </is>
      </c>
      <c r="C40" t="inlineStr">
        <is>
          <t>2026 Weekly Auction Apr 28 - May 7</t>
        </is>
      </c>
      <c r="D40" s="2" t="n">
        <v>1966</v>
      </c>
      <c r="E40" s="2" t="n">
        <v>1853.2</v>
      </c>
      <c r="F40" t="inlineStr">
        <is>
          <t>MICHAEL JORDAN BGS 8.5 1986 STAR 1984 OLYMPIAN #3 BULLS RC 9 CENTERING HOF</t>
        </is>
      </c>
      <c r="G40" s="2" t="n">
        <v>2275</v>
      </c>
      <c r="H40" s="3" t="n">
        <v>24</v>
      </c>
      <c r="I40" s="4" t="n"/>
      <c r="J40" s="2">
        <f>IF(I40&lt;&gt;"",I40,G40)</f>
        <v/>
      </c>
      <c r="K40" s="2">
        <f>E40-J40</f>
        <v/>
      </c>
      <c r="L40" s="5">
        <f>IF(J40&gt;0,K40/J40,"")</f>
        <v/>
      </c>
    </row>
    <row r="41">
      <c r="A41" t="n">
        <v>40</v>
      </c>
      <c r="B41" t="inlineStr">
        <is>
          <t>2019-20 Panini Obsidian Matrix Autographs Yellow #MA-GAN Giannis Antetokounmpo Signed Card (#10/10) - Panini Encased</t>
        </is>
      </c>
      <c r="C41" t="inlineStr">
        <is>
          <t>2026 Weekly Auction Mar 17 - Mar 26</t>
        </is>
      </c>
      <c r="D41" s="2" t="n">
        <v>145</v>
      </c>
      <c r="E41" s="2" t="n">
        <v>136.68</v>
      </c>
      <c r="F41" t="inlineStr">
        <is>
          <t>Giannis Antetokounmpo 2019 Obsidian Matrix Yellow Auto MAGAN Bucks /10 PSA 9</t>
        </is>
      </c>
      <c r="G41" s="2" t="n">
        <v>510</v>
      </c>
      <c r="H41" s="3" t="n">
        <v>22</v>
      </c>
      <c r="I41" s="4" t="n"/>
      <c r="J41" s="2">
        <f>IF(I41&lt;&gt;"",I41,G41)</f>
        <v/>
      </c>
      <c r="K41" s="2">
        <f>E41-J41</f>
        <v/>
      </c>
      <c r="L41" s="5">
        <f>IF(J41&gt;0,K41/J41,"")</f>
        <v/>
      </c>
    </row>
    <row r="42">
      <c r="A42" t="n">
        <v>41</v>
      </c>
      <c r="B42" t="inlineStr">
        <is>
          <t>2024-25 Panini Flawless Legends Platinum #116 Dwyane Wade Diamond Relic Card (#1/1) - Panini Encased</t>
        </is>
      </c>
      <c r="C42" t="inlineStr">
        <is>
          <t>2026 April Elite Auction</t>
        </is>
      </c>
      <c r="D42" s="2" t="n">
        <v>1261</v>
      </c>
      <c r="E42" s="2" t="n">
        <v>1188.65</v>
      </c>
      <c r="F42" t="inlineStr">
        <is>
          <t>One Of One 1/1 2024-25 Panini Flawless Dwyane Wade #116 Legends Diamond Teal</t>
        </is>
      </c>
      <c r="G42" s="2" t="n">
        <v>1550</v>
      </c>
      <c r="H42" s="3" t="n">
        <v>30</v>
      </c>
      <c r="I42" s="4" t="n"/>
      <c r="J42" s="2">
        <f>IF(I42&lt;&gt;"",I42,G42)</f>
        <v/>
      </c>
      <c r="K42" s="2">
        <f>E42-J42</f>
        <v/>
      </c>
      <c r="L42" s="5">
        <f>IF(J42&gt;0,K42/J42,"")</f>
        <v/>
      </c>
    </row>
    <row r="43">
      <c r="A43" t="n">
        <v>42</v>
      </c>
      <c r="B43" t="inlineStr">
        <is>
          <t>2024-25 Panini Flawless Gold #186 Anthony Davis Diamond Relic Card (#5/5) - PSA MINT 9 - Pop 1</t>
        </is>
      </c>
      <c r="C43" t="inlineStr">
        <is>
          <t>2026 April Elite Auction</t>
        </is>
      </c>
      <c r="D43" s="2" t="n">
        <v>120</v>
      </c>
      <c r="E43" s="2" t="n">
        <v>113.11</v>
      </c>
      <c r="F43" t="inlineStr">
        <is>
          <t>ANTHONY DAVIS 2024-25 PANINI FLAWLESS #186 ALL-NBA DIAMOND GEM GOLD /5 MAVERICKS</t>
        </is>
      </c>
      <c r="G43" s="2" t="n">
        <v>472</v>
      </c>
      <c r="H43" s="3" t="n">
        <v>27</v>
      </c>
      <c r="I43" s="4" t="n"/>
      <c r="J43" s="2">
        <f>IF(I43&lt;&gt;"",I43,G43)</f>
        <v/>
      </c>
      <c r="K43" s="2">
        <f>E43-J43</f>
        <v/>
      </c>
      <c r="L43" s="5">
        <f>IF(J43&gt;0,K43/J43,"")</f>
        <v/>
      </c>
    </row>
    <row r="44">
      <c r="A44" t="n">
        <v>43</v>
      </c>
      <c r="B44" t="inlineStr">
        <is>
          <t>2019-20 Panini Obsidian Matrix Autographs Electric Etch Yellow #MA-GAN Giannis Antetokounmpo Signed Card (#03/10) - PSA MINT 9</t>
        </is>
      </c>
      <c r="C44" t="inlineStr">
        <is>
          <t>2026 Weekly Auction Mar 24 - Apr 2</t>
        </is>
      </c>
      <c r="D44" s="2" t="n">
        <v>181</v>
      </c>
      <c r="E44" s="2" t="n">
        <v>170.61</v>
      </c>
      <c r="F44" t="inlineStr">
        <is>
          <t>Giannis Antetokounmpo 2019 Obsidian Matrix Yellow Auto MAGAN Bucks /10 PSA 9</t>
        </is>
      </c>
      <c r="G44" s="2" t="n">
        <v>510</v>
      </c>
      <c r="H44" s="3" t="n">
        <v>22</v>
      </c>
      <c r="I44" s="4" t="n"/>
      <c r="J44" s="2">
        <f>IF(I44&lt;&gt;"",I44,G44)</f>
        <v/>
      </c>
      <c r="K44" s="2">
        <f>E44-J44</f>
        <v/>
      </c>
      <c r="L44" s="5">
        <f>IF(J44&gt;0,K44/J44,"")</f>
        <v/>
      </c>
    </row>
    <row r="45">
      <c r="A45" t="n">
        <v>44</v>
      </c>
      <c r="B45" t="inlineStr">
        <is>
          <t>2019-20 Panini Instant NBA Defensive Player of the Year Autographs #183 Giannis Antetokounmpo Signed Card (#3/5) - Panini Encased</t>
        </is>
      </c>
      <c r="C45" t="inlineStr">
        <is>
          <t>2026 Weekly Auction Mar 17 - Mar 26</t>
        </is>
      </c>
      <c r="D45" s="2" t="n">
        <v>170</v>
      </c>
      <c r="E45" s="2" t="n">
        <v>160.25</v>
      </c>
      <c r="F45" t="inlineStr">
        <is>
          <t>GIANNIS ANTETOKOUNMPO 2019-20 Panini Instant Basketball #183 NBA DPOY Auto 3/5</t>
        </is>
      </c>
      <c r="G45" s="2" t="n">
        <v>475</v>
      </c>
      <c r="H45" s="3" t="n">
        <v>25</v>
      </c>
      <c r="I45" s="4" t="n"/>
      <c r="J45" s="2">
        <f>IF(I45&lt;&gt;"",I45,G45)</f>
        <v/>
      </c>
      <c r="K45" s="2">
        <f>E45-J45</f>
        <v/>
      </c>
      <c r="L45" s="5">
        <f>IF(J45&gt;0,K45/J45,"")</f>
        <v/>
      </c>
    </row>
    <row r="46">
      <c r="A46" t="n">
        <v>45</v>
      </c>
      <c r="B46" t="inlineStr">
        <is>
          <t>2024-25 Panini Flawless Vault Memorabilia #FVM-PAU Pau Gasol Patch Card (#5/6) - Panini Encased</t>
        </is>
      </c>
      <c r="C46" t="inlineStr">
        <is>
          <t>2026 Weekly Auction Mar 10 - Mar 19</t>
        </is>
      </c>
      <c r="D46" s="2" t="n">
        <v>382</v>
      </c>
      <c r="E46" s="2" t="n">
        <v>360.08</v>
      </c>
      <c r="F46" t="inlineStr">
        <is>
          <t>2024-25 Flawless VAULT MEMORABILIA  NIKE SWOOSH  Pau Gasol /6 🔥</t>
        </is>
      </c>
      <c r="G46" s="2" t="n">
        <v>660</v>
      </c>
      <c r="H46" s="3" t="n">
        <v>22</v>
      </c>
      <c r="I46" s="4" t="n"/>
      <c r="J46" s="2">
        <f>IF(I46&lt;&gt;"",I46,G46)</f>
        <v/>
      </c>
      <c r="K46" s="2">
        <f>E46-J46</f>
        <v/>
      </c>
      <c r="L46" s="5">
        <f>IF(J46&gt;0,K46/J46,"")</f>
        <v/>
      </c>
    </row>
    <row r="47">
      <c r="A47" t="n">
        <v>46</v>
      </c>
      <c r="B47" t="inlineStr">
        <is>
          <t>1997-98 Bowman's Best Techniques Atomic Refractor #T2 Michael Jordan - PSA NM-MT 8</t>
        </is>
      </c>
      <c r="C47" t="inlineStr">
        <is>
          <t>2026 April Elite Auction</t>
        </is>
      </c>
      <c r="D47" s="2" t="n">
        <v>899</v>
      </c>
      <c r="E47" s="2" t="n">
        <v>847.42</v>
      </c>
      <c r="F47" t="inlineStr">
        <is>
          <t>1997-98 Bowman's Best #T2 MICHAEL JORDAN Techniques Atomic Refractor PSA 9 MINT</t>
        </is>
      </c>
      <c r="G47" s="2" t="n">
        <v>1136</v>
      </c>
      <c r="H47" s="3" t="n">
        <v>32</v>
      </c>
      <c r="I47" s="4" t="n"/>
      <c r="J47" s="2">
        <f>IF(I47&lt;&gt;"",I47,G47)</f>
        <v/>
      </c>
      <c r="K47" s="2">
        <f>E47-J47</f>
        <v/>
      </c>
      <c r="L47" s="5">
        <f>IF(J47&gt;0,K47/J47,"")</f>
        <v/>
      </c>
    </row>
    <row r="48">
      <c r="A48" t="n">
        <v>47</v>
      </c>
      <c r="B48" t="inlineStr">
        <is>
          <t>2021-22 Panini Prizm Sensational Signatures Mojo Prizm #SS-LDC Luka Doncic Signed Card (#11/25) - Panini Encased</t>
        </is>
      </c>
      <c r="C48" t="inlineStr">
        <is>
          <t>2026 Weekly Auction Mar 24 - Apr 2</t>
        </is>
      </c>
      <c r="D48" s="2" t="n">
        <v>1000</v>
      </c>
      <c r="E48" s="2" t="n">
        <v>942.62</v>
      </c>
      <c r="F48" t="inlineStr">
        <is>
          <t>LUKA DONCIC 2018-19 PANINI PRIZM #SS-LDC SENSATIONAL SIGNATURES AUTO ROOKIE RC</t>
        </is>
      </c>
      <c r="G48" s="2" t="n">
        <v>1225</v>
      </c>
      <c r="H48" s="6" t="n">
        <v>19</v>
      </c>
      <c r="I48" s="4" t="n"/>
      <c r="J48" s="2">
        <f>IF(I48&lt;&gt;"",I48,G48)</f>
        <v/>
      </c>
      <c r="K48" s="2">
        <f>E48-J48</f>
        <v/>
      </c>
      <c r="L48" s="5">
        <f>IF(J48&gt;0,K48/J48,"")</f>
        <v/>
      </c>
    </row>
    <row r="49">
      <c r="A49" t="n">
        <v>48</v>
      </c>
      <c r="B49" t="inlineStr">
        <is>
          <t>2021-22 Panini Flawless Draft Gem Signatures Ruby #DGS-LDD Luka Doncic Signed Card (#02/15) - Panini Encased</t>
        </is>
      </c>
      <c r="C49" t="inlineStr">
        <is>
          <t>2026 April Elite Auction</t>
        </is>
      </c>
      <c r="D49" s="2" t="n">
        <v>1322</v>
      </c>
      <c r="E49" s="2" t="n">
        <v>1246.15</v>
      </c>
      <c r="F49" t="inlineStr">
        <is>
          <t>2021-22 Panini Flawless Luka Doncic #DGS-LDD Ruby Draft Gem Signatures Auto /15</t>
        </is>
      </c>
      <c r="G49" s="2" t="n">
        <v>1528</v>
      </c>
      <c r="H49" s="3" t="n">
        <v>29</v>
      </c>
      <c r="I49" s="4" t="n"/>
      <c r="J49" s="2">
        <f>IF(I49&lt;&gt;"",I49,G49)</f>
        <v/>
      </c>
      <c r="K49" s="2">
        <f>E49-J49</f>
        <v/>
      </c>
      <c r="L49" s="5">
        <f>IF(J49&gt;0,K49/J49,"")</f>
        <v/>
      </c>
    </row>
    <row r="50">
      <c r="A50" t="n">
        <v>49</v>
      </c>
      <c r="B50" t="inlineStr">
        <is>
          <t>2024 Panini NSCC VIP Gold #41 Yao Ming (#06/10) - PSA NM-MT 8</t>
        </is>
      </c>
      <c r="C50" t="inlineStr">
        <is>
          <t>2026 Weekly Auction Mar 3 - Mar 12</t>
        </is>
      </c>
      <c r="D50" s="2" t="n">
        <v>56</v>
      </c>
      <c r="E50" s="2" t="n">
        <v>52.79</v>
      </c>
      <c r="F50" t="inlineStr">
        <is>
          <t>2024 Topps Chrome UFC #141 Shara Magomedov Sepia Rookie Auto Psa GEM MT 10/10 RC</t>
        </is>
      </c>
      <c r="G50" s="2" t="n">
        <v>325</v>
      </c>
      <c r="H50" s="6" t="n">
        <v>18</v>
      </c>
      <c r="I50" s="4" t="n"/>
      <c r="J50" s="2">
        <f>IF(I50&lt;&gt;"",I50,G50)</f>
        <v/>
      </c>
      <c r="K50" s="2">
        <f>E50-J50</f>
        <v/>
      </c>
      <c r="L50" s="5">
        <f>IF(J50&gt;0,K50/J50,"")</f>
        <v/>
      </c>
    </row>
    <row r="51">
      <c r="A51" t="n">
        <v>50</v>
      </c>
      <c r="B51" t="inlineStr">
        <is>
          <t>2025-26 Panini Instant NBA Draft Night #1 Cooper Flagg Rookie Card - PSA GEM MT 10</t>
        </is>
      </c>
      <c r="C51" t="inlineStr">
        <is>
          <t>2026 Weekly Auction Mar 24 - Apr 2</t>
        </is>
      </c>
      <c r="D51" s="2" t="n">
        <v>34</v>
      </c>
      <c r="E51" s="2" t="n">
        <v>32.05</v>
      </c>
      <c r="F51" t="inlineStr">
        <is>
          <t>2025-26 Topps Midnight Cooper Flagg Daydreamers #DD-16 SSP Rookie RC Case Hit sc</t>
        </is>
      </c>
      <c r="G51" s="2" t="n">
        <v>299.99</v>
      </c>
      <c r="H51" s="3" t="n">
        <v>22</v>
      </c>
      <c r="I51" s="4" t="n"/>
      <c r="J51" s="2">
        <f>IF(I51&lt;&gt;"",I51,G51)</f>
        <v/>
      </c>
      <c r="K51" s="2">
        <f>E51-J51</f>
        <v/>
      </c>
      <c r="L51" s="5">
        <f>IF(J51&gt;0,K51/J51,"")</f>
        <v/>
      </c>
    </row>
    <row r="52">
      <c r="A52" t="n">
        <v>51</v>
      </c>
      <c r="B52" t="inlineStr">
        <is>
          <t>2018-19 Panini National Convention Gold VIP Memorabilia #64 Stephen Curry Patch Card (#3/5) - BGS NM-MT 8</t>
        </is>
      </c>
      <c r="C52" t="inlineStr">
        <is>
          <t>2026 Weekly Auction Mar 24 - Apr 2</t>
        </is>
      </c>
      <c r="D52" s="2" t="n">
        <v>145</v>
      </c>
      <c r="E52" s="2" t="n">
        <v>136.68</v>
      </c>
      <c r="F52" t="inlineStr">
        <is>
          <t>Stephen Curry 2018 Panini National VIP Gold Patch Card #64 3/5 BGS 8 NM-MT</t>
        </is>
      </c>
      <c r="G52" s="2" t="n">
        <v>399.95</v>
      </c>
      <c r="H52" s="6" t="n">
        <v>17</v>
      </c>
      <c r="I52" s="4" t="n"/>
      <c r="J52" s="2">
        <f>IF(I52&lt;&gt;"",I52,G52)</f>
        <v/>
      </c>
      <c r="K52" s="2">
        <f>E52-J52</f>
        <v/>
      </c>
      <c r="L52" s="5">
        <f>IF(J52&gt;0,K52/J52,"")</f>
        <v/>
      </c>
    </row>
    <row r="53">
      <c r="A53" t="n">
        <v>52</v>
      </c>
      <c r="B53" t="inlineStr">
        <is>
          <t>2017 Panini Donruss Optic Rated Rookie Red/Yellow #177 Patrick Mahomes II Rookie Card - PSA GEM MT 10</t>
        </is>
      </c>
      <c r="C53" t="inlineStr">
        <is>
          <t>2026 Weekly Auction May 19 - May 28</t>
        </is>
      </c>
      <c r="D53" s="2" t="n">
        <v>2105</v>
      </c>
      <c r="E53" s="2" t="n">
        <v>1984.22</v>
      </c>
      <c r="F53" t="inlineStr">
        <is>
          <t>PATRICK MAHOMES II PSA 10 2017 DONRUSS OPTIC #177 RED YELLOW RC RATED ROOKIE</t>
        </is>
      </c>
      <c r="G53" s="2" t="n">
        <v>2247</v>
      </c>
      <c r="H53" s="3" t="n">
        <v>31</v>
      </c>
      <c r="I53" s="4" t="n"/>
      <c r="J53" s="2">
        <f>IF(I53&lt;&gt;"",I53,G53)</f>
        <v/>
      </c>
      <c r="K53" s="2">
        <f>E53-J53</f>
        <v/>
      </c>
      <c r="L53" s="5">
        <f>IF(J53&gt;0,K53/J53,"")</f>
        <v/>
      </c>
    </row>
    <row r="54">
      <c r="A54" t="n">
        <v>53</v>
      </c>
      <c r="B54" t="inlineStr">
        <is>
          <t>2023-24 Panini Select Courtside Gold Prizm #251 Luka Doncic (#08/10) - PSA MINT 9</t>
        </is>
      </c>
      <c r="C54" t="inlineStr">
        <is>
          <t>2026 Weekly Auction Mar 24 - Apr 2</t>
        </is>
      </c>
      <c r="D54" s="2" t="n">
        <v>600</v>
      </c>
      <c r="E54" s="2" t="n">
        <v>565.5700000000001</v>
      </c>
      <c r="F54" t="inlineStr">
        <is>
          <t>2023 Select Luka Doncic COURTSIDE Gold Prizm #251 PSA 9 LOW POP 2 RARE GOLD</t>
        </is>
      </c>
      <c r="G54" s="2" t="n">
        <v>800</v>
      </c>
      <c r="H54" s="3" t="n">
        <v>21</v>
      </c>
      <c r="I54" s="4" t="n"/>
      <c r="J54" s="2">
        <f>IF(I54&lt;&gt;"",I54,G54)</f>
        <v/>
      </c>
      <c r="K54" s="2">
        <f>E54-J54</f>
        <v/>
      </c>
      <c r="L54" s="5">
        <f>IF(J54&gt;0,K54/J54,"")</f>
        <v/>
      </c>
    </row>
    <row r="55">
      <c r="A55" t="n">
        <v>54</v>
      </c>
      <c r="B55" t="inlineStr">
        <is>
          <t>2025 Bowman Chrome U Black Refractor #109 Fernando Mendoza Rookie Card (#03/10) - PSA MINT 9</t>
        </is>
      </c>
      <c r="C55" t="inlineStr">
        <is>
          <t>2026 Weekly Auction Mar 31 - Apr 9</t>
        </is>
      </c>
      <c r="D55" s="2" t="n">
        <v>450</v>
      </c>
      <c r="E55" s="2" t="n">
        <v>424.18</v>
      </c>
      <c r="F55" t="inlineStr">
        <is>
          <t>2025 Bowman Chrome U Black Refractor #109 Fernando Mendoza # 4/10 Indiana</t>
        </is>
      </c>
      <c r="G55" s="2" t="n">
        <v>658</v>
      </c>
      <c r="H55" s="3" t="n">
        <v>30</v>
      </c>
      <c r="I55" s="4" t="n"/>
      <c r="J55" s="2">
        <f>IF(I55&lt;&gt;"",I55,G55)</f>
        <v/>
      </c>
      <c r="K55" s="2">
        <f>E55-J55</f>
        <v/>
      </c>
      <c r="L55" s="5">
        <f>IF(J55&gt;0,K55/J55,"")</f>
        <v/>
      </c>
    </row>
    <row r="56">
      <c r="A56" t="n">
        <v>55</v>
      </c>
      <c r="B56" t="inlineStr">
        <is>
          <t>2024-25 Panini Flawless All-Stars #125 Donovan Mitchell Diamond Relic Card (#08/10) - Panini Encased</t>
        </is>
      </c>
      <c r="C56" t="inlineStr">
        <is>
          <t>2026 Weekly Auction Mar 17 - Mar 26</t>
        </is>
      </c>
      <c r="D56" s="2" t="n">
        <v>75</v>
      </c>
      <c r="E56" s="2" t="n">
        <v>70.7</v>
      </c>
      <c r="F56" t="inlineStr">
        <is>
          <t>2024-25 Panini Flawless Donovan Mitchell #125 All-Stars Diamond Cavaliers /10</t>
        </is>
      </c>
      <c r="G56" s="2" t="n">
        <v>283</v>
      </c>
      <c r="H56" s="3" t="n">
        <v>31</v>
      </c>
      <c r="I56" s="4" t="n"/>
      <c r="J56" s="2">
        <f>IF(I56&lt;&gt;"",I56,G56)</f>
        <v/>
      </c>
      <c r="K56" s="2">
        <f>E56-J56</f>
        <v/>
      </c>
      <c r="L56" s="5">
        <f>IF(J56&gt;0,K56/J56,"")</f>
        <v/>
      </c>
    </row>
    <row r="57">
      <c r="A57" t="n">
        <v>56</v>
      </c>
      <c r="B57" t="inlineStr">
        <is>
          <t>2024-25 Bowman U Now Autographs Purple #17B Hannah Hidalgo Signed Card (#22/25) - PSA MINT 9</t>
        </is>
      </c>
      <c r="C57" t="inlineStr">
        <is>
          <t>2026 Weekly Auction Mar 24 - Apr 2</t>
        </is>
      </c>
      <c r="D57" s="2" t="n">
        <v>166</v>
      </c>
      <c r="E57" s="2" t="n">
        <v>156.48</v>
      </c>
      <c r="F57" t="inlineStr">
        <is>
          <t>2024 Bowman U Now Hannah Hidalgo Notre Dame Purple Auto Psa 9 /25 #17B</t>
        </is>
      </c>
      <c r="G57" s="2" t="n">
        <v>350</v>
      </c>
      <c r="H57" s="3" t="n">
        <v>27</v>
      </c>
      <c r="I57" s="4" t="n"/>
      <c r="J57" s="2">
        <f>IF(I57&lt;&gt;"",I57,G57)</f>
        <v/>
      </c>
      <c r="K57" s="2">
        <f>E57-J57</f>
        <v/>
      </c>
      <c r="L57" s="5">
        <f>IF(J57&gt;0,K57/J57,"")</f>
        <v/>
      </c>
    </row>
    <row r="58">
      <c r="A58" t="n">
        <v>57</v>
      </c>
      <c r="B58" t="inlineStr">
        <is>
          <t>2003-04 Bowman Chrome Autograph Refractors #149 Dwyane Wade Signed Rookie Card (#25/50) - BGS MINT 9, Beckett 10</t>
        </is>
      </c>
      <c r="C58" t="inlineStr">
        <is>
          <t>2026 April Elite Auction</t>
        </is>
      </c>
      <c r="D58" s="2" t="n">
        <v>1256</v>
      </c>
      <c r="E58" s="2" t="n">
        <v>1183.93</v>
      </c>
      <c r="F58" t="inlineStr">
        <is>
          <t>DWYANE WADE 2003-04 BOWMAN CHROME #149 ROOKIE RC /50 AUTO REFRACTOR BGS 9/10 💎</t>
        </is>
      </c>
      <c r="G58" s="2" t="n">
        <v>1375</v>
      </c>
      <c r="H58" s="3" t="n">
        <v>32</v>
      </c>
      <c r="I58" s="4" t="n"/>
      <c r="J58" s="2">
        <f>IF(I58&lt;&gt;"",I58,G58)</f>
        <v/>
      </c>
      <c r="K58" s="2">
        <f>E58-J58</f>
        <v/>
      </c>
      <c r="L58" s="5">
        <f>IF(J58&gt;0,K58/J58,"")</f>
        <v/>
      </c>
    </row>
    <row r="59">
      <c r="A59" t="n">
        <v>58</v>
      </c>
      <c r="B59" t="inlineStr">
        <is>
          <t>2023-24 Panini Select Red Cracked Ice #87 Victor Wembanyama Rookie Card - PSA GEM MT 10</t>
        </is>
      </c>
      <c r="C59" t="inlineStr">
        <is>
          <t>2026 Weekly Auction Mar 24 - Apr 2</t>
        </is>
      </c>
      <c r="D59" s="2" t="n">
        <v>251</v>
      </c>
      <c r="E59" s="2" t="n">
        <v>236.6</v>
      </c>
      <c r="F59" t="inlineStr">
        <is>
          <t>Victor Wembanyama RC 2023-24 Select RED Cracked Ice #87 PSA 10 GEM MINT POP /6!</t>
        </is>
      </c>
      <c r="G59" s="2" t="n">
        <v>425</v>
      </c>
      <c r="H59" s="3" t="n">
        <v>28</v>
      </c>
      <c r="I59" s="4" t="n"/>
      <c r="J59" s="2">
        <f>IF(I59&lt;&gt;"",I59,G59)</f>
        <v/>
      </c>
      <c r="K59" s="2">
        <f>E59-J59</f>
        <v/>
      </c>
      <c r="L59" s="5">
        <f>IF(J59&gt;0,K59/J59,"")</f>
        <v/>
      </c>
    </row>
    <row r="60">
      <c r="A60" t="n">
        <v>59</v>
      </c>
      <c r="B60" t="inlineStr">
        <is>
          <t>2012-13 Upper Deck Exquisite Collection Signatures #S-JE Julius Erving Signed Card (#25/30) - PSA MINT 9</t>
        </is>
      </c>
      <c r="C60" t="inlineStr">
        <is>
          <t>2026 Weekly Auction Mar 24 - Apr 2</t>
        </is>
      </c>
      <c r="D60" s="2" t="n">
        <v>145</v>
      </c>
      <c r="E60" s="2" t="n">
        <v>136.68</v>
      </c>
      <c r="F60" t="inlineStr">
        <is>
          <t>2012 Upper Deck Exquisite Collection Signatures Julius Erving #S-JE #25/30 PSA 9</t>
        </is>
      </c>
      <c r="G60" s="2" t="n">
        <v>325</v>
      </c>
      <c r="H60" s="3" t="n">
        <v>22</v>
      </c>
      <c r="I60" s="4" t="n"/>
      <c r="J60" s="2">
        <f>IF(I60&lt;&gt;"",I60,G60)</f>
        <v/>
      </c>
      <c r="K60" s="2">
        <f>E60-J60</f>
        <v/>
      </c>
      <c r="L60" s="5">
        <f>IF(J60&gt;0,K60/J60,"")</f>
        <v/>
      </c>
    </row>
    <row r="61">
      <c r="A61" t="n">
        <v>60</v>
      </c>
      <c r="B61" t="inlineStr">
        <is>
          <t>2024-25 Panini Flawless All-Stars #138 LeBron James Diamond Relic Card (#04/10) - Panini Encased</t>
        </is>
      </c>
      <c r="C61" t="inlineStr">
        <is>
          <t>2026 Weekly Auction Apr 14 - Apr 23</t>
        </is>
      </c>
      <c r="D61" s="2" t="n">
        <v>481</v>
      </c>
      <c r="E61" s="2" t="n">
        <v>453.4</v>
      </c>
      <c r="F61" t="inlineStr">
        <is>
          <t>2024-25 Panini Flawless Lebron James #138 All-Stars Diamond Lakers /10</t>
        </is>
      </c>
      <c r="G61" s="2" t="n">
        <v>637</v>
      </c>
      <c r="H61" s="3" t="n">
        <v>31</v>
      </c>
      <c r="I61" s="4" t="n"/>
      <c r="J61" s="2">
        <f>IF(I61&lt;&gt;"",I61,G61)</f>
        <v/>
      </c>
      <c r="K61" s="2">
        <f>E61-J61</f>
        <v/>
      </c>
      <c r="L61" s="5">
        <f>IF(J61&gt;0,K61/J61,"")</f>
        <v/>
      </c>
    </row>
    <row r="62">
      <c r="A62" t="n">
        <v>61</v>
      </c>
      <c r="B62" t="inlineStr">
        <is>
          <t>1993-94 Topps Finest #1 Michael Jordan - PSA GEM MT 10</t>
        </is>
      </c>
      <c r="C62" t="inlineStr">
        <is>
          <t>2026 Weekly Auction Mar 31 - Apr 9</t>
        </is>
      </c>
      <c r="D62" s="2" t="n">
        <v>1276</v>
      </c>
      <c r="E62" s="2" t="n">
        <v>1202.79</v>
      </c>
      <c r="F62" t="inlineStr">
        <is>
          <t>MICHAEL JORDAN PSA 10 1993-94 TOPPS FINEST BASEBALL #1 BULLS 447</t>
        </is>
      </c>
      <c r="G62" s="2" t="n">
        <v>1375</v>
      </c>
      <c r="H62" s="3" t="n">
        <v>24</v>
      </c>
      <c r="I62" s="4" t="n"/>
      <c r="J62" s="2">
        <f>IF(I62&lt;&gt;"",I62,G62)</f>
        <v/>
      </c>
      <c r="K62" s="2">
        <f>E62-J62</f>
        <v/>
      </c>
      <c r="L62" s="5">
        <f>IF(J62&gt;0,K62/J62,"")</f>
        <v/>
      </c>
    </row>
    <row r="63">
      <c r="A63" t="n">
        <v>62</v>
      </c>
      <c r="B63" t="inlineStr">
        <is>
          <t>2023-24 Panini One And One Number Ones #ONE-SON Shaquille O'Neal Signed Card (#20/49) - Panini Encased</t>
        </is>
      </c>
      <c r="C63" t="inlineStr">
        <is>
          <t>2026 Weekly Auction Mar 3 - Mar 12</t>
        </is>
      </c>
      <c r="D63" s="2" t="n">
        <v>230</v>
      </c>
      <c r="E63" s="2" t="n">
        <v>216.8</v>
      </c>
      <c r="F63" t="inlineStr">
        <is>
          <t>2023-24 Panini One And One Shaquille O'Neal #ONE-SON Number Ones Auto Magic /49</t>
        </is>
      </c>
      <c r="G63" s="2" t="n">
        <v>382.77</v>
      </c>
      <c r="H63" s="3" t="n">
        <v>35</v>
      </c>
      <c r="I63" s="4" t="n"/>
      <c r="J63" s="2">
        <f>IF(I63&lt;&gt;"",I63,G63)</f>
        <v/>
      </c>
      <c r="K63" s="2">
        <f>E63-J63</f>
        <v/>
      </c>
      <c r="L63" s="5">
        <f>IF(J63&gt;0,K63/J63,"")</f>
        <v/>
      </c>
    </row>
    <row r="64">
      <c r="A64" t="n">
        <v>63</v>
      </c>
      <c r="B64" t="inlineStr">
        <is>
          <t>1997-98 Bowman's Best Atomic Refractors #60 Michael Jordan - BGS NM-MT+ 8.5</t>
        </is>
      </c>
      <c r="C64" t="inlineStr">
        <is>
          <t>2026 April Elite Auction</t>
        </is>
      </c>
      <c r="D64" s="2" t="n">
        <v>2211</v>
      </c>
      <c r="E64" s="2" t="n">
        <v>2084.14</v>
      </c>
      <c r="F64" t="inlineStr">
        <is>
          <t>MICHAEL JORDAN BGS 8.5 1997-98 BOWMAN'S BEST #60 ATOMIC REFRACTOR BULLS RARE SP</t>
        </is>
      </c>
      <c r="G64" s="2" t="n">
        <v>2250</v>
      </c>
      <c r="H64" s="3" t="n">
        <v>30</v>
      </c>
      <c r="I64" s="4" t="n"/>
      <c r="J64" s="2">
        <f>IF(I64&lt;&gt;"",I64,G64)</f>
        <v/>
      </c>
      <c r="K64" s="2">
        <f>E64-J64</f>
        <v/>
      </c>
      <c r="L64" s="5">
        <f>IF(J64&gt;0,K64/J64,"")</f>
        <v/>
      </c>
    </row>
    <row r="65">
      <c r="A65" t="n">
        <v>64</v>
      </c>
      <c r="B65" t="inlineStr">
        <is>
          <t>2021-22 Panini Eminence Autographs Gold #21 Magic Johnson Signed Card (#2/5) - Panini Encased</t>
        </is>
      </c>
      <c r="C65" t="inlineStr">
        <is>
          <t>2026 Weekly Auction Apr 21 - Apr 30</t>
        </is>
      </c>
      <c r="D65" s="2" t="n">
        <v>253</v>
      </c>
      <c r="E65" s="2" t="n">
        <v>238.48</v>
      </c>
      <c r="F65" t="inlineStr">
        <is>
          <t>2021-22 Panini Eminence Magic Johnson #21 Auto Gold /5</t>
        </is>
      </c>
      <c r="G65" s="2" t="n">
        <v>403</v>
      </c>
      <c r="H65" s="3" t="n">
        <v>28</v>
      </c>
      <c r="I65" s="4" t="n"/>
      <c r="J65" s="2">
        <f>IF(I65&lt;&gt;"",I65,G65)</f>
        <v/>
      </c>
      <c r="K65" s="2">
        <f>E65-J65</f>
        <v/>
      </c>
      <c r="L65" s="5">
        <f>IF(J65&gt;0,K65/J65,"")</f>
        <v/>
      </c>
    </row>
    <row r="66">
      <c r="A66" t="n">
        <v>65</v>
      </c>
      <c r="B66" t="inlineStr">
        <is>
          <t>2015-16 Panini Noir Autographs Black &amp; White Platinum #NB-GAN Giannis Antetokounmpo Signed Card (#3/5) - Panini Encased</t>
        </is>
      </c>
      <c r="C66" t="inlineStr">
        <is>
          <t>2026 April Elite Auction</t>
        </is>
      </c>
      <c r="D66" s="2" t="n">
        <v>521</v>
      </c>
      <c r="E66" s="2" t="n">
        <v>491.11</v>
      </c>
      <c r="F66" t="inlineStr">
        <is>
          <t>2015-16 Panini Noir Giannis Antetokounmpo Auto /5 #NB-GAN Bucks</t>
        </is>
      </c>
      <c r="G66" s="2" t="n">
        <v>645</v>
      </c>
      <c r="H66" s="3" t="n">
        <v>28</v>
      </c>
      <c r="I66" s="4" t="n"/>
      <c r="J66" s="2">
        <f>IF(I66&lt;&gt;"",I66,G66)</f>
        <v/>
      </c>
      <c r="K66" s="2">
        <f>E66-J66</f>
        <v/>
      </c>
      <c r="L66" s="5">
        <f>IF(J66&gt;0,K66/J66,"")</f>
        <v/>
      </c>
    </row>
    <row r="67">
      <c r="A67" t="n">
        <v>66</v>
      </c>
      <c r="B67" t="inlineStr">
        <is>
          <t>2003-04 Upper Deck Rookie Exclusives Autograph #A58 Yao Ming Signed Card - PSA Authentic, PSA/DNA GEM MT 10</t>
        </is>
      </c>
      <c r="C67" t="inlineStr">
        <is>
          <t>2026 April Elite Auction</t>
        </is>
      </c>
      <c r="D67" s="2" t="n">
        <v>376</v>
      </c>
      <c r="E67" s="2" t="n">
        <v>354.43</v>
      </c>
      <c r="F67" t="inlineStr">
        <is>
          <t>2003 Upper Deck Rookie Exclusives #A58 Yao Ming PSA AUTO 10 - RARE</t>
        </is>
      </c>
      <c r="G67" s="2" t="n">
        <v>500</v>
      </c>
      <c r="H67" s="6" t="n">
        <v>18</v>
      </c>
      <c r="I67" s="4" t="n"/>
      <c r="J67" s="2">
        <f>IF(I67&lt;&gt;"",I67,G67)</f>
        <v/>
      </c>
      <c r="K67" s="2">
        <f>E67-J67</f>
        <v/>
      </c>
      <c r="L67" s="5">
        <f>IF(J67&gt;0,K67/J67,"")</f>
        <v/>
      </c>
    </row>
    <row r="68">
      <c r="A68" t="n">
        <v>67</v>
      </c>
      <c r="B68" t="inlineStr">
        <is>
          <t>2023-24 Panini Phoenix Phoenix Autographs #PA-PAO Paolo Banchero Signed Card (#11/15) - PSA NM-MT 8</t>
        </is>
      </c>
      <c r="C68" t="inlineStr">
        <is>
          <t>2026 Weekly Auction Mar 3 - Mar 12</t>
        </is>
      </c>
      <c r="D68" s="2" t="n">
        <v>98</v>
      </c>
      <c r="E68" s="2" t="n">
        <v>92.38</v>
      </c>
      <c r="F68" t="inlineStr">
        <is>
          <t>2023-24 Panini Phoenix Paolo Banchero SSP White Ice AUTO 11/15 ***MINT***</t>
        </is>
      </c>
      <c r="G68" s="2" t="n">
        <v>225</v>
      </c>
      <c r="H68" s="3" t="n">
        <v>23</v>
      </c>
      <c r="I68" s="4" t="n"/>
      <c r="J68" s="2">
        <f>IF(I68&lt;&gt;"",I68,G68)</f>
        <v/>
      </c>
      <c r="K68" s="2">
        <f>E68-J68</f>
        <v/>
      </c>
      <c r="L68" s="5">
        <f>IF(J68&gt;0,K68/J68,"")</f>
        <v/>
      </c>
    </row>
    <row r="69">
      <c r="A69" t="n">
        <v>68</v>
      </c>
      <c r="B69" t="inlineStr">
        <is>
          <t>1996-97 Topps Stadium Club Class Acts Refractor #CA1 Michael Jordan/Jerry Stackhouse - PSA MINT 9</t>
        </is>
      </c>
      <c r="C69" t="inlineStr">
        <is>
          <t>2026 Weekly Auction Mar 31 - Apr 9</t>
        </is>
      </c>
      <c r="D69" s="2" t="n">
        <v>507</v>
      </c>
      <c r="E69" s="2" t="n">
        <v>477.91</v>
      </c>
      <c r="F69" t="inlineStr">
        <is>
          <t>1996 MICHAEL JORDAN Topps Stadium Club Class Act REFRACTOR #CA1 PSA 9 MINT</t>
        </is>
      </c>
      <c r="G69" s="2" t="n">
        <v>599.99</v>
      </c>
      <c r="H69" s="3" t="n">
        <v>24</v>
      </c>
      <c r="I69" s="4" t="n"/>
      <c r="J69" s="2">
        <f>IF(I69&lt;&gt;"",I69,G69)</f>
        <v/>
      </c>
      <c r="K69" s="2">
        <f>E69-J69</f>
        <v/>
      </c>
      <c r="L69" s="5">
        <f>IF(J69&gt;0,K69/J69,"")</f>
        <v/>
      </c>
    </row>
    <row r="70">
      <c r="A70" t="n">
        <v>69</v>
      </c>
      <c r="B70" t="inlineStr">
        <is>
          <t>2018-19 Panini Prizm Luck of The Lottery Silver Prizm #3 Luka Doncic Rookie Card - PSA GEM MT 10</t>
        </is>
      </c>
      <c r="C70" t="inlineStr">
        <is>
          <t>2026 Weekly Auction Mar 31 - Apr 9</t>
        </is>
      </c>
      <c r="D70" s="2" t="n">
        <v>185</v>
      </c>
      <c r="E70" s="2" t="n">
        <v>174.39</v>
      </c>
      <c r="F70" t="inlineStr">
        <is>
          <t>2018-19 Prizm Luka Doncic Luck of the Lottery Silver Rookie RC #3 PSA 10</t>
        </is>
      </c>
      <c r="G70" s="2" t="n">
        <v>285</v>
      </c>
      <c r="H70" s="3" t="n">
        <v>29</v>
      </c>
      <c r="I70" s="4" t="n"/>
      <c r="J70" s="2">
        <f>IF(I70&lt;&gt;"",I70,G70)</f>
        <v/>
      </c>
      <c r="K70" s="2">
        <f>E70-J70</f>
        <v/>
      </c>
      <c r="L70" s="5">
        <f>IF(J70&gt;0,K70/J70,"")</f>
        <v/>
      </c>
    </row>
    <row r="71">
      <c r="A71" t="n">
        <v>70</v>
      </c>
      <c r="B71" t="inlineStr">
        <is>
          <t>2002-03 Topps Pristine Refractors #51 Yao Ming (#0985/1899) - BGS GEM MINT 9.5</t>
        </is>
      </c>
      <c r="C71" t="inlineStr">
        <is>
          <t>2026 Weekly Auction Mar 24 - Apr 2</t>
        </is>
      </c>
      <c r="D71" s="2" t="n">
        <v>100</v>
      </c>
      <c r="E71" s="2" t="n">
        <v>94.26000000000001</v>
      </c>
      <c r="F71" t="inlineStr">
        <is>
          <t>2002-03 Topps Pristine Refractor /1899 Yao Ming #51 PSA 10 GEM MT Rookie RC HOF</t>
        </is>
      </c>
      <c r="G71" s="2" t="n">
        <v>195</v>
      </c>
      <c r="H71" s="3" t="n">
        <v>25</v>
      </c>
      <c r="I71" s="4" t="n"/>
      <c r="J71" s="2">
        <f>IF(I71&lt;&gt;"",I71,G71)</f>
        <v/>
      </c>
      <c r="K71" s="2">
        <f>E71-J71</f>
        <v/>
      </c>
      <c r="L71" s="5">
        <f>IF(J71&gt;0,K71/J71,"")</f>
        <v/>
      </c>
    </row>
    <row r="72">
      <c r="A72" t="n">
        <v>71</v>
      </c>
      <c r="B72" t="inlineStr">
        <is>
          <t>2023-24 Panini Immaculate Collection Patch Autographs Red #IPA-DAV Anthony Davis Signed Patch Card (#02/15) - Panini Encased</t>
        </is>
      </c>
      <c r="C72" t="inlineStr">
        <is>
          <t>2026 Weekly Auction Mar 24 - Apr 2</t>
        </is>
      </c>
      <c r="D72" s="2" t="n">
        <v>182</v>
      </c>
      <c r="E72" s="2" t="n">
        <v>171.56</v>
      </c>
      <c r="F72" t="inlineStr">
        <is>
          <t>2023-24 Panini Immaculate Anthony Davis Game Used Patch Auto #2/15 Lakers</t>
        </is>
      </c>
      <c r="G72" s="2" t="n">
        <v>262</v>
      </c>
      <c r="H72" s="3" t="n">
        <v>21</v>
      </c>
      <c r="I72" s="4" t="n"/>
      <c r="J72" s="2">
        <f>IF(I72&lt;&gt;"",I72,G72)</f>
        <v/>
      </c>
      <c r="K72" s="2">
        <f>E72-J72</f>
        <v/>
      </c>
      <c r="L72" s="5">
        <f>IF(J72&gt;0,K72/J72,"")</f>
        <v/>
      </c>
    </row>
    <row r="73">
      <c r="A73" t="n">
        <v>72</v>
      </c>
      <c r="B73" t="inlineStr">
        <is>
          <t>2020-21 Panini Prizm Orange Ice Prizm #258 Anthony Edwards Rookie Card - PSA GEM MT 10</t>
        </is>
      </c>
      <c r="C73" t="inlineStr">
        <is>
          <t>2026 Weekly Auction Mar 31 - Apr 9</t>
        </is>
      </c>
      <c r="D73" s="2" t="n">
        <v>375</v>
      </c>
      <c r="E73" s="2" t="n">
        <v>353.48</v>
      </c>
      <c r="F73" t="inlineStr">
        <is>
          <t>2020-21 Panini Prizm - Anthony Edwards #258 Orange Ice Prizm (RC) PSA 10 Rookie</t>
        </is>
      </c>
      <c r="G73" s="2" t="n">
        <v>439</v>
      </c>
      <c r="H73" s="3" t="n">
        <v>25</v>
      </c>
      <c r="I73" s="4" t="n"/>
      <c r="J73" s="2">
        <f>IF(I73&lt;&gt;"",I73,G73)</f>
        <v/>
      </c>
      <c r="K73" s="2">
        <f>E73-J73</f>
        <v/>
      </c>
      <c r="L73" s="5">
        <f>IF(J73&gt;0,K73/J73,"")</f>
        <v/>
      </c>
    </row>
    <row r="74">
      <c r="A74" t="n">
        <v>73</v>
      </c>
      <c r="B74" t="inlineStr">
        <is>
          <t>2020-21 Panini Prizm Draft Picks Tiger Stripe Choice Prizm #41 Anthony Edwards Rookie Card - PSA GEM MT 10</t>
        </is>
      </c>
      <c r="C74" t="inlineStr">
        <is>
          <t>2026 April Elite Auction</t>
        </is>
      </c>
      <c r="D74" s="2" t="n">
        <v>276</v>
      </c>
      <c r="E74" s="2" t="n">
        <v>260.16</v>
      </c>
      <c r="F74" t="inlineStr">
        <is>
          <t>2020 PANINI PRIZM DRAFT PICKS TIGER STRIPE CHOICE #41 ANTHONY EDWARDS RC PSA 10</t>
        </is>
      </c>
      <c r="G74" s="2" t="n">
        <v>345</v>
      </c>
      <c r="H74" s="3" t="n">
        <v>27</v>
      </c>
      <c r="I74" s="4" t="n"/>
      <c r="J74" s="2">
        <f>IF(I74&lt;&gt;"",I74,G74)</f>
        <v/>
      </c>
      <c r="K74" s="2">
        <f>E74-J74</f>
        <v/>
      </c>
      <c r="L74" s="5">
        <f>IF(J74&gt;0,K74/J74,"")</f>
        <v/>
      </c>
    </row>
    <row r="75">
      <c r="A75" t="n">
        <v>74</v>
      </c>
      <c r="B75" t="inlineStr">
        <is>
          <t>2024-25 Panini Eminence Elegant Marks #EM-KNE Dalton Knecht Signed Rookie Card (#02/10) - Panini Encased</t>
        </is>
      </c>
      <c r="C75" t="inlineStr">
        <is>
          <t>2026 April Elite Auction</t>
        </is>
      </c>
      <c r="D75" s="2" t="n">
        <v>190</v>
      </c>
      <c r="E75" s="2" t="n">
        <v>179.1</v>
      </c>
      <c r="F75" t="inlineStr">
        <is>
          <t>DALTON KNECHT 2024-25 PANINI EMINENCE ELEGANT MARKS ROOKIE RC AUTO 02/10 LAKERS</t>
        </is>
      </c>
      <c r="G75" s="2" t="n">
        <v>263</v>
      </c>
      <c r="H75" s="3" t="n">
        <v>27</v>
      </c>
      <c r="I75" s="4" t="n"/>
      <c r="J75" s="2">
        <f>IF(I75&lt;&gt;"",I75,G75)</f>
        <v/>
      </c>
      <c r="K75" s="2">
        <f>E75-J75</f>
        <v/>
      </c>
      <c r="L75" s="5">
        <f>IF(J75&gt;0,K75/J75,"")</f>
        <v/>
      </c>
    </row>
    <row r="76">
      <c r="A76" t="n">
        <v>75</v>
      </c>
      <c r="B76" t="inlineStr">
        <is>
          <t>2001-02 Topps Chrome Fast &amp; Furious Refractor #FF05 Michael Jordan - PSA MINT 9</t>
        </is>
      </c>
      <c r="C76" t="inlineStr">
        <is>
          <t>2026 Weekly Auction Mar 31 - Apr 9</t>
        </is>
      </c>
      <c r="D76" s="2" t="n">
        <v>355</v>
      </c>
      <c r="E76" s="2" t="n">
        <v>334.63</v>
      </c>
      <c r="F76" t="inlineStr">
        <is>
          <t>2001-02 Topps Chrome #FF05 Michael Jordan Fast and Furious Refractor PSA 9</t>
        </is>
      </c>
      <c r="G76" s="2" t="n">
        <v>414.99</v>
      </c>
      <c r="H76" s="3" t="n">
        <v>29</v>
      </c>
      <c r="I76" s="4" t="n"/>
      <c r="J76" s="2">
        <f>IF(I76&lt;&gt;"",I76,G76)</f>
        <v/>
      </c>
      <c r="K76" s="2">
        <f>E76-J76</f>
        <v/>
      </c>
      <c r="L76" s="5">
        <f>IF(J76&gt;0,K76/J76,"")</f>
        <v/>
      </c>
    </row>
    <row r="77">
      <c r="A77" t="n">
        <v>76</v>
      </c>
      <c r="B77" t="inlineStr">
        <is>
          <t>2001-02 Topps Chrome Refractor #95 Michael Jordan - PSA MINT 9</t>
        </is>
      </c>
      <c r="C77" t="inlineStr">
        <is>
          <t>2026 April Elite Auction</t>
        </is>
      </c>
      <c r="D77" s="2" t="n">
        <v>826</v>
      </c>
      <c r="E77" s="2" t="n">
        <v>778.61</v>
      </c>
      <c r="F77" t="inlineStr">
        <is>
          <t>2001-02 Topps Chrome Michael Jordan Refractor #95 Wizards PSA 9</t>
        </is>
      </c>
      <c r="G77" s="2" t="n">
        <v>855</v>
      </c>
      <c r="H77" s="3" t="n">
        <v>25</v>
      </c>
      <c r="I77" s="4" t="n"/>
      <c r="J77" s="2">
        <f>IF(I77&lt;&gt;"",I77,G77)</f>
        <v/>
      </c>
      <c r="K77" s="2">
        <f>E77-J77</f>
        <v/>
      </c>
      <c r="L77" s="5">
        <f>IF(J77&gt;0,K77/J77,"")</f>
        <v/>
      </c>
    </row>
    <row r="78">
      <c r="A78" t="n">
        <v>77</v>
      </c>
      <c r="B78" t="inlineStr">
        <is>
          <t>2024-25 Panini One And One Laundry Tag Brand Logo #LTB-WEL Jaylen Wells Patch Rookie Card (#10/10) - Panini Encased</t>
        </is>
      </c>
      <c r="C78" t="inlineStr">
        <is>
          <t>2026 Weekly Auction Mar 10 - Mar 19</t>
        </is>
      </c>
      <c r="D78" s="2" t="n">
        <v>110</v>
      </c>
      <c r="E78" s="2" t="n">
        <v>103.69</v>
      </c>
      <c r="F78" t="inlineStr">
        <is>
          <t>10/10 ≈1/1 2024-25 Panini One And One Jaylen Wells RC Rookie Nike Tag Patch Gold</t>
        </is>
      </c>
      <c r="G78" s="2" t="n">
        <v>170.5</v>
      </c>
      <c r="H78" s="3" t="n">
        <v>29</v>
      </c>
      <c r="I78" s="4" t="n"/>
      <c r="J78" s="2">
        <f>IF(I78&lt;&gt;"",I78,G78)</f>
        <v/>
      </c>
      <c r="K78" s="2">
        <f>E78-J78</f>
        <v/>
      </c>
      <c r="L78" s="5">
        <f>IF(J78&gt;0,K78/J78,"")</f>
        <v/>
      </c>
    </row>
    <row r="79">
      <c r="A79" t="n">
        <v>78</v>
      </c>
      <c r="B79" t="inlineStr">
        <is>
          <t>2024-25 Panini Instant Rookie Royalty WNBA Downtown #12 Angel Reese Rookie Card - PSA GEM MT 10</t>
        </is>
      </c>
      <c r="C79" t="inlineStr">
        <is>
          <t>2026 Weekly Auction Mar 24 - Apr 2</t>
        </is>
      </c>
      <c r="D79" s="2" t="n">
        <v>290</v>
      </c>
      <c r="E79" s="2" t="n">
        <v>273.36</v>
      </c>
      <c r="F79" t="inlineStr">
        <is>
          <t>Jared McCain 2024-25 Panini Immaculate Rookie Patch Auto Blue 28/49 RC #122</t>
        </is>
      </c>
      <c r="G79" s="2" t="n">
        <v>338</v>
      </c>
      <c r="H79" s="6" t="n">
        <v>16</v>
      </c>
      <c r="I79" s="4" t="n"/>
      <c r="J79" s="2">
        <f>IF(I79&lt;&gt;"",I79,G79)</f>
        <v/>
      </c>
      <c r="K79" s="2">
        <f>E79-J79</f>
        <v/>
      </c>
      <c r="L79" s="5">
        <f>IF(J79&gt;0,K79/J79,"")</f>
        <v/>
      </c>
    </row>
    <row r="80">
      <c r="A80" t="n">
        <v>79</v>
      </c>
      <c r="B80" t="inlineStr">
        <is>
          <t>2009-10 Panini Limited Banner Season Material #8 Kobe Bryant Relic Card (#82/99) - PSA NM-MT 8</t>
        </is>
      </c>
      <c r="C80" t="inlineStr">
        <is>
          <t>2026 Weekly Auction May 19 - May 28</t>
        </is>
      </c>
      <c r="D80" s="2" t="n">
        <v>450</v>
      </c>
      <c r="E80" s="2" t="n">
        <v>424.18</v>
      </c>
      <c r="F80" t="inlineStr">
        <is>
          <t>KOBE BRYANT 2009 Limited Banner Season Materials /99 PSA 8 Game-Worn Patch</t>
        </is>
      </c>
      <c r="G80" s="2" t="n">
        <v>485</v>
      </c>
      <c r="H80" s="3" t="n">
        <v>25</v>
      </c>
      <c r="I80" s="4" t="n"/>
      <c r="J80" s="2">
        <f>IF(I80&lt;&gt;"",I80,G80)</f>
        <v/>
      </c>
      <c r="K80" s="2">
        <f>E80-J80</f>
        <v/>
      </c>
      <c r="L80" s="5">
        <f>IF(J80&gt;0,K80/J80,"")</f>
        <v/>
      </c>
    </row>
    <row r="81">
      <c r="A81" t="n">
        <v>80</v>
      </c>
      <c r="B81" t="inlineStr">
        <is>
          <t>2024-25 Panini One and One Rookie Jersey Autographs Blue #RJA-KNE Dalton Knecht Signed Patch Rookie Card (#48/49) - Panini Encased</t>
        </is>
      </c>
      <c r="C81" t="inlineStr">
        <is>
          <t>2026 Weekly Auction Apr 21 - Apr 30</t>
        </is>
      </c>
      <c r="D81" s="2" t="n">
        <v>32</v>
      </c>
      <c r="E81" s="2" t="n">
        <v>30.16</v>
      </c>
      <c r="F81" t="inlineStr">
        <is>
          <t>2024-25 Panini One And One Dalton Knecht Blue RC Jersey Patch Auto RPA /49</t>
        </is>
      </c>
      <c r="G81" s="2" t="n">
        <v>90</v>
      </c>
      <c r="H81" s="3" t="n">
        <v>25</v>
      </c>
      <c r="I81" s="4" t="n"/>
      <c r="J81" s="2">
        <f>IF(I81&lt;&gt;"",I81,G81)</f>
        <v/>
      </c>
      <c r="K81" s="2">
        <f>E81-J81</f>
        <v/>
      </c>
      <c r="L81" s="5">
        <f>IF(J81&gt;0,K81/J81,"")</f>
        <v/>
      </c>
    </row>
    <row r="82">
      <c r="A82" t="n">
        <v>81</v>
      </c>
      <c r="B82" t="inlineStr">
        <is>
          <t>2011-12 Fleer Retro Flair Showcase #FL-2 LeBron James (#100/150) - BGS MINT 9</t>
        </is>
      </c>
      <c r="C82" t="inlineStr">
        <is>
          <t>2026 April Elite Auction</t>
        </is>
      </c>
      <c r="D82" s="2" t="n">
        <v>310</v>
      </c>
      <c r="E82" s="2" t="n">
        <v>292.21</v>
      </c>
      <c r="F82" t="inlineStr">
        <is>
          <t>2011-12 Fleer Retro - Flair Showcase LeBron James ROW 0!! #FL-2 /150 BGS 9</t>
        </is>
      </c>
      <c r="G82" s="2" t="n">
        <v>349.99</v>
      </c>
      <c r="H82" s="3" t="n">
        <v>33</v>
      </c>
      <c r="I82" s="4" t="n"/>
      <c r="J82" s="2">
        <f>IF(I82&lt;&gt;"",I82,G82)</f>
        <v/>
      </c>
      <c r="K82" s="2">
        <f>E82-J82</f>
        <v/>
      </c>
      <c r="L82" s="5">
        <f>IF(J82&gt;0,K82/J82,"")</f>
        <v/>
      </c>
    </row>
    <row r="83">
      <c r="A83" t="n">
        <v>82</v>
      </c>
      <c r="B83" t="inlineStr">
        <is>
          <t>1999-00 Upper Deck HOLOGrFX Maximum Jordan #MJ2 Michael Jordan - PSA MINT 9</t>
        </is>
      </c>
      <c r="C83" t="inlineStr">
        <is>
          <t>2026 Weekly Auction Apr 7 - Apr 16</t>
        </is>
      </c>
      <c r="D83" s="2" t="n">
        <v>112</v>
      </c>
      <c r="E83" s="2" t="n">
        <v>105.57</v>
      </c>
      <c r="F83" t="inlineStr">
        <is>
          <t>MICHAEL JORDAN 1999-00 UPPER DECK HOLOGRFX MAXIMUM JORDAN #MJ2 PSA 9</t>
        </is>
      </c>
      <c r="G83" s="2" t="n">
        <v>160</v>
      </c>
      <c r="H83" s="3" t="n">
        <v>24</v>
      </c>
      <c r="I83" s="4" t="n"/>
      <c r="J83" s="2">
        <f>IF(I83&lt;&gt;"",I83,G83)</f>
        <v/>
      </c>
      <c r="K83" s="2">
        <f>E83-J83</f>
        <v/>
      </c>
      <c r="L83" s="5">
        <f>IF(J83&gt;0,K83/J83,"")</f>
        <v/>
      </c>
    </row>
    <row r="84">
      <c r="A84" t="n">
        <v>83</v>
      </c>
      <c r="B84" t="inlineStr">
        <is>
          <t>2012-13 Panini Prestige True Colors Materials #25 Stephen Curry Relic Card - BGS MINT 9</t>
        </is>
      </c>
      <c r="C84" t="inlineStr">
        <is>
          <t>2026 Weekly Auction Mar 24 - Apr 2</t>
        </is>
      </c>
      <c r="D84" s="2" t="n">
        <v>85</v>
      </c>
      <c r="E84" s="2" t="n">
        <v>80.12</v>
      </c>
      <c r="F84" t="inlineStr">
        <is>
          <t>2012-13 PANINI PRESTIGE TRUE COLORS MATERIALS #25 STEPHEN CURRY BGS 9</t>
        </is>
      </c>
      <c r="G84" s="2" t="n">
        <v>134.49</v>
      </c>
      <c r="H84" s="3" t="n">
        <v>25</v>
      </c>
      <c r="I84" s="4" t="n"/>
      <c r="J84" s="2">
        <f>IF(I84&lt;&gt;"",I84,G84)</f>
        <v/>
      </c>
      <c r="K84" s="2">
        <f>E84-J84</f>
        <v/>
      </c>
      <c r="L84" s="5">
        <f>IF(J84&gt;0,K84/J84,"")</f>
        <v/>
      </c>
    </row>
    <row r="85">
      <c r="A85" t="n">
        <v>84</v>
      </c>
      <c r="B85" t="inlineStr">
        <is>
          <t>2014-15 Panini Immaculate Collection Ink Red #4 Ray Allen Signed Card (#23/25) - PSA NM-MT 8</t>
        </is>
      </c>
      <c r="C85" t="inlineStr">
        <is>
          <t>2026 Weekly Auction Mar 24 - Apr 2</t>
        </is>
      </c>
      <c r="D85" s="2" t="n">
        <v>50</v>
      </c>
      <c r="E85" s="2" t="n">
        <v>47.13</v>
      </c>
      <c r="F85" t="inlineStr">
        <is>
          <t>2014 Panini Immaculate Ink Red #4 Ray Allen Miami Heat HOF AUTO 23/25 PSA 8</t>
        </is>
      </c>
      <c r="G85" s="2" t="n">
        <v>99</v>
      </c>
      <c r="H85" s="3" t="n">
        <v>20</v>
      </c>
      <c r="I85" s="4" t="n"/>
      <c r="J85" s="2">
        <f>IF(I85&lt;&gt;"",I85,G85)</f>
        <v/>
      </c>
      <c r="K85" s="2">
        <f>E85-J85</f>
        <v/>
      </c>
      <c r="L85" s="5">
        <f>IF(J85&gt;0,K85/J85,"")</f>
        <v/>
      </c>
    </row>
    <row r="86">
      <c r="A86" t="n">
        <v>85</v>
      </c>
      <c r="B86" t="inlineStr">
        <is>
          <t>2023-24 Topps Chrome Autograph Gold Refractor #CG-MB Mikal Bridges Signed Card (#40/50) - PSA GEM MT 10</t>
        </is>
      </c>
      <c r="C86" t="inlineStr">
        <is>
          <t>2026 Weekly Auction Mar 24 - Apr 2</t>
        </is>
      </c>
      <c r="D86" s="2" t="n">
        <v>10</v>
      </c>
      <c r="E86" s="2" t="n">
        <v>9.43</v>
      </c>
      <c r="F86" t="inlineStr">
        <is>
          <t>2023 Topps Chrome Gold Refractor 40/50 Mikal Bridges #CG-MB PSA 10 GEM MT Auto</t>
        </is>
      </c>
      <c r="G86" s="2" t="n">
        <v>61</v>
      </c>
      <c r="H86" s="3" t="n">
        <v>24</v>
      </c>
      <c r="I86" s="4" t="n"/>
      <c r="J86" s="2">
        <f>IF(I86&lt;&gt;"",I86,G86)</f>
        <v/>
      </c>
      <c r="K86" s="2">
        <f>E86-J86</f>
        <v/>
      </c>
      <c r="L86" s="5">
        <f>IF(J86&gt;0,K86/J86,"")</f>
        <v/>
      </c>
    </row>
    <row r="87">
      <c r="A87" t="n">
        <v>86</v>
      </c>
      <c r="B87" t="inlineStr">
        <is>
          <t>2018-19 Panini Spectra Rising Stars Signatures Neon Pink #RS-LDC Luka Doncic Signed Rookie Card (#10/25) - BGS NM-MT+ 8.5, Beckett 10</t>
        </is>
      </c>
      <c r="C87" t="inlineStr">
        <is>
          <t>2026 April Elite Auction</t>
        </is>
      </c>
      <c r="D87" s="2" t="n">
        <v>1250</v>
      </c>
      <c r="E87" s="2" t="n">
        <v>1178.28</v>
      </c>
      <c r="F87" t="inlineStr">
        <is>
          <t>LUKA DONCIC 2018-19 PANINI PRIZM #SS-LDC SENSATIONAL SIGNATURES AUTO ROOKIE RC</t>
        </is>
      </c>
      <c r="G87" s="2" t="n">
        <v>1225</v>
      </c>
      <c r="H87" s="6" t="n">
        <v>15</v>
      </c>
      <c r="I87" s="4" t="n"/>
      <c r="J87" s="2">
        <f>IF(I87&lt;&gt;"",I87,G87)</f>
        <v/>
      </c>
      <c r="K87" s="2">
        <f>E87-J87</f>
        <v/>
      </c>
      <c r="L87" s="5">
        <f>IF(J87&gt;0,K87/J87,"")</f>
        <v/>
      </c>
    </row>
    <row r="88">
      <c r="A88" t="n">
        <v>87</v>
      </c>
      <c r="B88" t="inlineStr">
        <is>
          <t>2018-19 Panini National VIP Cracked Ice #64 Stephen Curry (#42/50) - PSA MINT 9</t>
        </is>
      </c>
      <c r="C88" t="inlineStr">
        <is>
          <t>2026 Weekly Auction Mar 24 - Apr 2</t>
        </is>
      </c>
      <c r="D88" s="2" t="n">
        <v>85</v>
      </c>
      <c r="E88" s="2" t="n">
        <v>80.12</v>
      </c>
      <c r="F88" t="inlineStr">
        <is>
          <t>2018 PANINI NATIONAL VIP CRACKED ICE #64 STEPHEN CURRY 42/50 PSA 9</t>
        </is>
      </c>
      <c r="G88" s="2" t="n">
        <v>126.56</v>
      </c>
      <c r="H88" s="3" t="n">
        <v>21</v>
      </c>
      <c r="I88" s="4" t="n"/>
      <c r="J88" s="2">
        <f>IF(I88&lt;&gt;"",I88,G88)</f>
        <v/>
      </c>
      <c r="K88" s="2">
        <f>E88-J88</f>
        <v/>
      </c>
      <c r="L88" s="5">
        <f>IF(J88&gt;0,K88/J88,"")</f>
        <v/>
      </c>
    </row>
    <row r="89">
      <c r="A89" t="n">
        <v>88</v>
      </c>
      <c r="B89" t="inlineStr">
        <is>
          <t>2018-19 Panini Select In Flight Signatures Tie-Dye Prizm #IF-GAN Giannis Antetokounmpo Signed Card (#04/25) - BGS GEM MINT 9.5, Beckett 10</t>
        </is>
      </c>
      <c r="C89" t="inlineStr">
        <is>
          <t>2026 Weekly Auction Mar 24 - Apr 2</t>
        </is>
      </c>
      <c r="D89" s="2" t="n">
        <v>526</v>
      </c>
      <c r="E89" s="2" t="n">
        <v>495.82</v>
      </c>
      <c r="F89" t="inlineStr">
        <is>
          <t>Giannis Antetokounmpo 2018-19 Panini Opulence Autograph Card #OA-GAN 03/25</t>
        </is>
      </c>
      <c r="G89" s="2" t="n">
        <v>539.95</v>
      </c>
      <c r="H89" s="6" t="n">
        <v>17</v>
      </c>
      <c r="I89" s="4" t="n"/>
      <c r="J89" s="2">
        <f>IF(I89&lt;&gt;"",I89,G89)</f>
        <v/>
      </c>
      <c r="K89" s="2">
        <f>E89-J89</f>
        <v/>
      </c>
      <c r="L89" s="5">
        <f>IF(J89&gt;0,K89/J89,"")</f>
        <v/>
      </c>
    </row>
    <row r="90">
      <c r="A90" t="n">
        <v>89</v>
      </c>
      <c r="B90" t="inlineStr">
        <is>
          <t>1998-99 Upper Deck Black Diamond Triple #11 Michael Jordan - PSA MINT 9</t>
        </is>
      </c>
      <c r="C90" t="inlineStr">
        <is>
          <t>2026 Weekly Auction Mar 31 - Apr 9</t>
        </is>
      </c>
      <c r="D90" s="2" t="n">
        <v>263</v>
      </c>
      <c r="E90" s="2" t="n">
        <v>247.91</v>
      </c>
      <c r="F90" t="inlineStr">
        <is>
          <t>1998-99 Upper Deck Black Diamond Michael Jordan #11 Triple Diamond /1500 - PSA 9</t>
        </is>
      </c>
      <c r="G90" s="2" t="n">
        <v>280</v>
      </c>
      <c r="H90" s="3" t="n">
        <v>21</v>
      </c>
      <c r="I90" s="4" t="n"/>
      <c r="J90" s="2">
        <f>IF(I90&lt;&gt;"",I90,G90)</f>
        <v/>
      </c>
      <c r="K90" s="2">
        <f>E90-J90</f>
        <v/>
      </c>
      <c r="L90" s="5">
        <f>IF(J90&gt;0,K90/J90,"")</f>
        <v/>
      </c>
    </row>
    <row r="91">
      <c r="A91" t="n">
        <v>90</v>
      </c>
      <c r="B91" t="inlineStr">
        <is>
          <t>2018-19 Panini Prizm Pink Ice #184 Shai Gilgeous-Alexander - PSA GEM MT 10</t>
        </is>
      </c>
      <c r="C91" t="inlineStr">
        <is>
          <t>2026 Weekly Auction Mar 31 - Apr 9</t>
        </is>
      </c>
      <c r="D91" s="2" t="n">
        <v>500</v>
      </c>
      <c r="E91" s="2" t="n">
        <v>471.31</v>
      </c>
      <c r="F91" t="inlineStr">
        <is>
          <t>2018-19 Panini Prizm Shai Gilgeous-Alexander Prizm Green RC #184 PSA 10</t>
        </is>
      </c>
      <c r="G91" s="2" t="n">
        <v>500</v>
      </c>
      <c r="H91" s="3" t="n">
        <v>24</v>
      </c>
      <c r="I91" s="4" t="n"/>
      <c r="J91" s="2">
        <f>IF(I91&lt;&gt;"",I91,G91)</f>
        <v/>
      </c>
      <c r="K91" s="2">
        <f>E91-J91</f>
        <v/>
      </c>
      <c r="L91" s="5">
        <f>IF(J91&gt;0,K91/J91,"")</f>
        <v/>
      </c>
    </row>
    <row r="92">
      <c r="A92" t="n">
        <v>91</v>
      </c>
      <c r="B92" t="inlineStr">
        <is>
          <t>2024-25 Panini Prizm Black Sensational Signatures Gold Shimmer Prizm FOTL #SS-HOL Chet Holmgren Signed Card (#07/10) - Jersey Number - Panini Encased</t>
        </is>
      </c>
      <c r="C92" t="inlineStr">
        <is>
          <t>2026 February Elite Auction</t>
        </is>
      </c>
      <c r="D92" s="2" t="n">
        <v>210</v>
      </c>
      <c r="E92" s="2" t="n">
        <v>197.95</v>
      </c>
      <c r="F92" t="inlineStr">
        <is>
          <t>Chet Holmgren 2024-25 Panini Prizm Black Sensational Signatures Gold Redemption</t>
        </is>
      </c>
      <c r="G92" s="2" t="n">
        <v>225</v>
      </c>
      <c r="H92" s="6" t="n">
        <v>19</v>
      </c>
      <c r="I92" s="4" t="n"/>
      <c r="J92" s="2">
        <f>IF(I92&lt;&gt;"",I92,G92)</f>
        <v/>
      </c>
      <c r="K92" s="2">
        <f>E92-J92</f>
        <v/>
      </c>
      <c r="L92" s="5">
        <f>IF(J92&gt;0,K92/J92,"")</f>
        <v/>
      </c>
    </row>
    <row r="93">
      <c r="A93" t="n">
        <v>92</v>
      </c>
      <c r="B93" t="inlineStr">
        <is>
          <t>2024-25 Panini Mosaic Collage Autographs Blue Mosaic #CAM-KNE Dalton Knecht Signed Rookie Card (#15/35) - Panini Encased</t>
        </is>
      </c>
      <c r="C93" t="inlineStr">
        <is>
          <t>2026 Weekly Auction Mar 10 - Mar 19</t>
        </is>
      </c>
      <c r="D93" s="2" t="n">
        <v>37</v>
      </c>
      <c r="E93" s="2" t="n">
        <v>34.88</v>
      </c>
      <c r="F93" t="inlineStr">
        <is>
          <t>2024-25 Mosaic Collage Autographs Dalton Knecht #CAM-KNE Redemption /35 Blue🔥sp</t>
        </is>
      </c>
      <c r="G93" s="2" t="n">
        <v>50</v>
      </c>
      <c r="H93" s="3" t="n">
        <v>34</v>
      </c>
      <c r="I93" s="4" t="n"/>
      <c r="J93" s="2">
        <f>IF(I93&lt;&gt;"",I93,G93)</f>
        <v/>
      </c>
      <c r="K93" s="2">
        <f>E93-J93</f>
        <v/>
      </c>
      <c r="L93" s="5">
        <f>IF(J93&gt;0,K93/J93,"")</f>
        <v/>
      </c>
    </row>
    <row r="94">
      <c r="A94" t="n">
        <v>93</v>
      </c>
      <c r="B94" t="inlineStr">
        <is>
          <t>2018-19 Panini National Convention Gold VIP Prizm Cracked Ice #64 Stephen Curry (#48/50) - BGS GEM MINT 9.5</t>
        </is>
      </c>
      <c r="C94" t="inlineStr">
        <is>
          <t>2026 Weekly Auction Mar 24 - Apr 2</t>
        </is>
      </c>
      <c r="D94" s="2" t="n">
        <v>120</v>
      </c>
      <c r="E94" s="2" t="n">
        <v>113.11</v>
      </c>
      <c r="F94" t="inlineStr">
        <is>
          <t>2018 PANINI NATIONAL VIP CRACKED ICE #64 STEPHEN CURRY 42/50 PSA 9</t>
        </is>
      </c>
      <c r="G94" s="2" t="n">
        <v>126.56</v>
      </c>
      <c r="H94" s="3" t="n">
        <v>21</v>
      </c>
      <c r="I94" s="4" t="n"/>
      <c r="J94" s="2">
        <f>IF(I94&lt;&gt;"",I94,G94)</f>
        <v/>
      </c>
      <c r="K94" s="2">
        <f>E94-J94</f>
        <v/>
      </c>
      <c r="L94" s="5">
        <f>IF(J94&gt;0,K94/J94,"")</f>
        <v/>
      </c>
    </row>
    <row r="95">
      <c r="A95" t="n">
        <v>94</v>
      </c>
      <c r="B95" t="inlineStr">
        <is>
          <t>2022 Leaf Exotic Leopard #BA-MB2 Matas Buzelis Signed Rookie Card (#1/1) - Leaf Encased</t>
        </is>
      </c>
      <c r="C95" t="inlineStr">
        <is>
          <t>2026 Weekly Auction Mar 10 - Mar 19</t>
        </is>
      </c>
      <c r="D95" s="2" t="n">
        <v>92</v>
      </c>
      <c r="E95" s="2" t="n">
        <v>86.72</v>
      </c>
      <c r="F95" t="inlineStr">
        <is>
          <t>2022-23 Leaf Exotic Cheetah Prismatic 1/1 Matas Buzelis #BA-MB2 Auto</t>
        </is>
      </c>
      <c r="G95" s="2" t="n">
        <v>99.98999999999999</v>
      </c>
      <c r="H95" s="3" t="n">
        <v>29</v>
      </c>
      <c r="I95" s="4" t="n"/>
      <c r="J95" s="2">
        <f>IF(I95&lt;&gt;"",I95,G95)</f>
        <v/>
      </c>
      <c r="K95" s="2">
        <f>E95-J95</f>
        <v/>
      </c>
      <c r="L95" s="5">
        <f>IF(J95&gt;0,K95/J95,"")</f>
        <v/>
      </c>
    </row>
    <row r="96">
      <c r="A96" t="n">
        <v>95</v>
      </c>
      <c r="B96" t="inlineStr">
        <is>
          <t>2020-21 Panini Flawless USA Basketball #USA-DUR Kevin Durant Signed Card (#04/10) - Panini Encased</t>
        </is>
      </c>
      <c r="C96" t="inlineStr">
        <is>
          <t>2026 Weekly Auction Mar 24 - Apr 2</t>
        </is>
      </c>
      <c r="D96" s="2" t="n">
        <v>770</v>
      </c>
      <c r="E96" s="2" t="n">
        <v>725.8200000000001</v>
      </c>
      <c r="F96" t="inlineStr">
        <is>
          <t>2020-21 Panini Flawless Kevin Durant Gold USA Auto /10 #USA-DUR</t>
        </is>
      </c>
      <c r="G96" s="2" t="n">
        <v>739</v>
      </c>
      <c r="H96" s="3" t="n">
        <v>25</v>
      </c>
      <c r="I96" s="4" t="n"/>
      <c r="J96" s="2">
        <f>IF(I96&lt;&gt;"",I96,G96)</f>
        <v/>
      </c>
      <c r="K96" s="2">
        <f>E96-J96</f>
        <v/>
      </c>
      <c r="L96" s="5">
        <f>IF(J96&gt;0,K96/J96,"")</f>
        <v/>
      </c>
    </row>
    <row r="97">
      <c r="A97" t="n">
        <v>96</v>
      </c>
      <c r="B97" t="inlineStr">
        <is>
          <t>2010 Topps Chrome Refractor #190 Mike Stanton Rookie Card - PSA GEM MT 10</t>
        </is>
      </c>
      <c r="C97" t="inlineStr">
        <is>
          <t>2026 Weekly Auction Apr 28 - May 7</t>
        </is>
      </c>
      <c r="D97" s="2" t="n">
        <v>110</v>
      </c>
      <c r="E97" s="2" t="n">
        <v>103.69</v>
      </c>
      <c r="F97" t="inlineStr">
        <is>
          <t>2010 Topps Chrome Refractor Mike Giancarlo Stanton #190 PSA 10 Rookie RC</t>
        </is>
      </c>
      <c r="G97" s="2" t="n">
        <v>115.5</v>
      </c>
      <c r="H97" s="3" t="n">
        <v>26</v>
      </c>
      <c r="I97" s="4" t="n"/>
      <c r="J97" s="2">
        <f>IF(I97&lt;&gt;"",I97,G97)</f>
        <v/>
      </c>
      <c r="K97" s="2">
        <f>E97-J97</f>
        <v/>
      </c>
      <c r="L97" s="5">
        <f>IF(J97&gt;0,K97/J97,"")</f>
        <v/>
      </c>
    </row>
    <row r="98">
      <c r="A98" t="n">
        <v>97</v>
      </c>
      <c r="B98" t="inlineStr">
        <is>
          <t>2007 Topps Allen &amp; Ginter #300 Ichiro Suzuki Signed Card - BGS Authentic Autograph</t>
        </is>
      </c>
      <c r="C98" t="inlineStr">
        <is>
          <t>2026 Weekly Auction Apr 28 - May 7</t>
        </is>
      </c>
      <c r="D98" s="2" t="n">
        <v>230</v>
      </c>
      <c r="E98" s="2" t="n">
        <v>216.8</v>
      </c>
      <c r="F98" t="inlineStr">
        <is>
          <t>2007 Topps Allen &amp; Ginter's - Ichiro Suzuki #300 Autograph BGS Authentic Auto</t>
        </is>
      </c>
      <c r="G98" s="2" t="n">
        <v>222.5</v>
      </c>
      <c r="H98" s="3" t="n">
        <v>26</v>
      </c>
      <c r="I98" s="4" t="n"/>
      <c r="J98" s="2">
        <f>IF(I98&lt;&gt;"",I98,G98)</f>
        <v/>
      </c>
      <c r="K98" s="2">
        <f>E98-J98</f>
        <v/>
      </c>
      <c r="L98" s="5">
        <f>IF(J98&gt;0,K98/J98,"")</f>
        <v/>
      </c>
    </row>
    <row r="99">
      <c r="A99" t="n">
        <v>98</v>
      </c>
      <c r="B99" t="inlineStr">
        <is>
          <t>2024-25 Panini Prizm Draft Picks Penmanship Blue Ice Prizm #P-VJE V.J. Edgecombe Signed Rookie Card (#26/75) - SGC GM 10, SGC 10</t>
        </is>
      </c>
      <c r="C99" t="inlineStr">
        <is>
          <t>2026 Weekly Auction Mar 24 - Apr 2</t>
        </is>
      </c>
      <c r="D99" s="2" t="n">
        <v>425</v>
      </c>
      <c r="E99" s="2" t="n">
        <v>400.61</v>
      </c>
      <c r="F99" t="inlineStr">
        <is>
          <t>2024 Panini Prizm Draft Picks - Penmanship VJ Edgecombe #P-VJE Hyper Prizm Auto</t>
        </is>
      </c>
      <c r="G99" s="2" t="n">
        <v>406</v>
      </c>
      <c r="H99" s="3" t="n">
        <v>21</v>
      </c>
      <c r="I99" s="4" t="n"/>
      <c r="J99" s="2">
        <f>IF(I99&lt;&gt;"",I99,G99)</f>
        <v/>
      </c>
      <c r="K99" s="2">
        <f>E99-J99</f>
        <v/>
      </c>
      <c r="L99" s="5">
        <f>IF(J99&gt;0,K99/J99,"")</f>
        <v/>
      </c>
    </row>
    <row r="100">
      <c r="A100" t="n">
        <v>99</v>
      </c>
      <c r="B100" t="inlineStr">
        <is>
          <t>2018-19 Panini Prizm Rookie Signatures #RS-LDC Luka Doncic Signed Rookie Card - BGS GEM MINT 9.5, Beckett 10</t>
        </is>
      </c>
      <c r="C100" t="inlineStr">
        <is>
          <t>2026 April Elite Auction</t>
        </is>
      </c>
      <c r="D100" s="2" t="n">
        <v>1300</v>
      </c>
      <c r="E100" s="2" t="n">
        <v>1225.41</v>
      </c>
      <c r="F100" t="inlineStr">
        <is>
          <t>LUKA DONCIC 2018-19 PANINI PRIZM #SS-LDC SENSATIONAL SIGNATURES AUTO ROOKIE RC</t>
        </is>
      </c>
      <c r="G100" s="2" t="n">
        <v>1225</v>
      </c>
      <c r="H100" s="6" t="n">
        <v>18</v>
      </c>
      <c r="I100" s="4" t="n"/>
      <c r="J100" s="2">
        <f>IF(I100&lt;&gt;"",I100,G100)</f>
        <v/>
      </c>
      <c r="K100" s="2">
        <f>E100-J100</f>
        <v/>
      </c>
      <c r="L100" s="5">
        <f>IF(J100&gt;0,K100/J100,"")</f>
        <v/>
      </c>
    </row>
    <row r="101">
      <c r="A101" t="n">
        <v>100</v>
      </c>
      <c r="B101" t="inlineStr">
        <is>
          <t>2020-21 Panini Mosaic Autographs Mosaic #AM-LUK Luka Doncic Signed Card - PSA MINT 9</t>
        </is>
      </c>
      <c r="C101" t="inlineStr">
        <is>
          <t>2026 Weekly Auction Mar 24 - Apr 2</t>
        </is>
      </c>
      <c r="D101" s="2" t="n">
        <v>950</v>
      </c>
      <c r="E101" s="2" t="n">
        <v>895.49</v>
      </c>
      <c r="F101" t="inlineStr">
        <is>
          <t>2020-21 Mosaic Luka Doncic Auto #AM-LUK Mavericks PSA 9</t>
        </is>
      </c>
      <c r="G101" s="2" t="n">
        <v>883</v>
      </c>
      <c r="H101" s="3" t="n">
        <v>27</v>
      </c>
      <c r="I101" s="4" t="n"/>
      <c r="J101" s="2">
        <f>IF(I101&lt;&gt;"",I101,G101)</f>
        <v/>
      </c>
      <c r="K101" s="2">
        <f>E101-J101</f>
        <v/>
      </c>
      <c r="L101" s="5">
        <f>IF(J101&gt;0,K101/J101,"")</f>
        <v/>
      </c>
    </row>
    <row r="102">
      <c r="A102" t="n">
        <v>101</v>
      </c>
      <c r="B102" t="inlineStr">
        <is>
          <t>2024-25 Panini Noir Auto Noir Black and White #ANB-GHL Grant Hill Signed Card (#09/99) - Panini Encased</t>
        </is>
      </c>
      <c r="C102" t="inlineStr">
        <is>
          <t>2026 Weekly Auction Mar 24 - Apr 2</t>
        </is>
      </c>
      <c r="D102" s="2" t="n">
        <v>82</v>
      </c>
      <c r="E102" s="2" t="n">
        <v>77.3</v>
      </c>
      <c r="F102" t="inlineStr">
        <is>
          <t>Grant Hill 2024-25 Panini Noir Auto Noir Black White /99 #ANB-GHL</t>
        </is>
      </c>
      <c r="G102" s="2" t="n">
        <v>63</v>
      </c>
      <c r="H102" s="3" t="n">
        <v>32</v>
      </c>
      <c r="I102" s="4" t="n"/>
      <c r="J102" s="2">
        <f>IF(I102&lt;&gt;"",I102,G102)</f>
        <v/>
      </c>
      <c r="K102" s="2">
        <f>E102-J102</f>
        <v/>
      </c>
      <c r="L102" s="5">
        <f>IF(J102&gt;0,K102/J102,"")</f>
        <v/>
      </c>
    </row>
    <row r="103">
      <c r="A103" t="n">
        <v>102</v>
      </c>
      <c r="B103" t="inlineStr">
        <is>
          <t>2024-25 Panini Eminence Optimum Diamond Autographs Gold #ODA-HOL Chet Holmgren Signed Diamond Relic Card (#2/5) - Panini Encased</t>
        </is>
      </c>
      <c r="C103" t="inlineStr">
        <is>
          <t>2026 Weekly Auction Mar 24 - Apr 2</t>
        </is>
      </c>
      <c r="D103" s="2" t="n">
        <v>350</v>
      </c>
      <c r="E103" s="2" t="n">
        <v>329.92</v>
      </c>
      <c r="F103" t="inlineStr">
        <is>
          <t>2024-2025 Eminence Optimum Chet Holmgren On Card Auto 2/5 Okc Thunder Rare</t>
        </is>
      </c>
      <c r="G103" s="2" t="n">
        <v>311</v>
      </c>
      <c r="H103" s="3" t="n">
        <v>20</v>
      </c>
      <c r="I103" s="4" t="n"/>
      <c r="J103" s="2">
        <f>IF(I103&lt;&gt;"",I103,G103)</f>
        <v/>
      </c>
      <c r="K103" s="2">
        <f>E103-J103</f>
        <v/>
      </c>
      <c r="L103" s="5">
        <f>IF(J103&gt;0,K103/J103,"")</f>
        <v/>
      </c>
    </row>
    <row r="104">
      <c r="A104" t="n">
        <v>103</v>
      </c>
      <c r="B104" t="inlineStr">
        <is>
          <t>2024-25 Panini One and One Blue #7 Anthony Edwards (#06/35) - Panini Encased</t>
        </is>
      </c>
      <c r="C104" t="inlineStr">
        <is>
          <t>2026 February Elite Auction</t>
        </is>
      </c>
      <c r="D104" s="2" t="n">
        <v>150</v>
      </c>
      <c r="E104" s="2" t="n">
        <v>141.39</v>
      </c>
      <c r="F104" t="inlineStr">
        <is>
          <t>2024-25 Panini One And One - Veterans Blue #7 Anthony Edwards /35 SEALED</t>
        </is>
      </c>
      <c r="G104" s="2" t="n">
        <v>110</v>
      </c>
      <c r="H104" s="3" t="n">
        <v>29</v>
      </c>
      <c r="I104" s="4" t="n"/>
      <c r="J104" s="2">
        <f>IF(I104&lt;&gt;"",I104,G104)</f>
        <v/>
      </c>
      <c r="K104" s="2">
        <f>E104-J104</f>
        <v/>
      </c>
      <c r="L104" s="5">
        <f>IF(J104&gt;0,K104/J104,"")</f>
        <v/>
      </c>
    </row>
    <row r="105">
      <c r="A105" t="n">
        <v>104</v>
      </c>
      <c r="B105" t="inlineStr">
        <is>
          <t>2020-21 Panini Prizm Rookie Penmanship Signatures #RP-LMB Lamelo Ball Signed Rookie Card - Panini Sealed</t>
        </is>
      </c>
      <c r="C105" t="inlineStr">
        <is>
          <t>2026 Weekly Auction Mar 31 - Apr 9</t>
        </is>
      </c>
      <c r="D105" s="2" t="n">
        <v>160</v>
      </c>
      <c r="E105" s="2" t="n">
        <v>150.82</v>
      </c>
      <c r="F105" t="inlineStr">
        <is>
          <t>LaMelo Ball 2020 Panini Prizm #RP-LMB Rookie Penmanship Rookie Auto RC</t>
        </is>
      </c>
      <c r="G105" s="2" t="n">
        <v>117.5</v>
      </c>
      <c r="H105" s="3" t="n">
        <v>20</v>
      </c>
      <c r="I105" s="4" t="n"/>
      <c r="J105" s="2">
        <f>IF(I105&lt;&gt;"",I105,G105)</f>
        <v/>
      </c>
      <c r="K105" s="2">
        <f>E105-J105</f>
        <v/>
      </c>
      <c r="L105" s="5">
        <f>IF(J105&gt;0,K105/J105,"")</f>
        <v/>
      </c>
    </row>
    <row r="106">
      <c r="A106" t="n">
        <v>105</v>
      </c>
      <c r="B106" t="inlineStr">
        <is>
          <t>2023-24 Panini National Treasures All-NBA Signatures International Red #ALL-CBK Charles Barkley Signed Card (#8/8) - Panini Encased</t>
        </is>
      </c>
      <c r="C106" t="inlineStr">
        <is>
          <t>2026 Weekly Auction Apr 21 - Apr 30</t>
        </is>
      </c>
      <c r="D106" s="2" t="n">
        <v>300</v>
      </c>
      <c r="E106" s="2" t="n">
        <v>282.79</v>
      </c>
      <c r="F106" t="inlineStr">
        <is>
          <t>1/10 ≈1/1 2023-24 Panini Flawless Performances Charles Barkley Gold Auto #FP-CBK</t>
        </is>
      </c>
      <c r="G106" s="2" t="n">
        <v>222.5</v>
      </c>
      <c r="H106" s="7" t="n">
        <v>14</v>
      </c>
      <c r="I106" s="4" t="n"/>
      <c r="J106" s="2">
        <f>IF(I106&lt;&gt;"",I106,G106)</f>
        <v/>
      </c>
      <c r="K106" s="2">
        <f>E106-J106</f>
        <v/>
      </c>
      <c r="L106" s="5">
        <f>IF(J106&gt;0,K106/J106,"")</f>
        <v/>
      </c>
    </row>
    <row r="107">
      <c r="A107" t="n">
        <v>106</v>
      </c>
      <c r="B107" t="inlineStr">
        <is>
          <t>1998-99 Upper Deck Ovation #7 Michael Jordan - PSA GEM MT 10</t>
        </is>
      </c>
      <c r="C107" t="inlineStr">
        <is>
          <t>2026 Weekly Auction Mar 31 - Apr 9</t>
        </is>
      </c>
      <c r="D107" s="2" t="n">
        <v>501</v>
      </c>
      <c r="E107" s="2" t="n">
        <v>472.25</v>
      </c>
      <c r="F107" t="inlineStr">
        <is>
          <t>1998-99 Upper Deck Ovation - Michael Jordan #7 PSA 10</t>
        </is>
      </c>
      <c r="G107" s="2" t="n">
        <v>400</v>
      </c>
      <c r="H107" s="3" t="n">
        <v>21</v>
      </c>
      <c r="I107" s="4" t="n"/>
      <c r="J107" s="2">
        <f>IF(I107&lt;&gt;"",I107,G107)</f>
        <v/>
      </c>
      <c r="K107" s="2">
        <f>E107-J107</f>
        <v/>
      </c>
      <c r="L107" s="5">
        <f>IF(J107&gt;0,K107/J107,"")</f>
        <v/>
      </c>
    </row>
    <row r="108">
      <c r="A108" t="n">
        <v>107</v>
      </c>
      <c r="B108" t="inlineStr">
        <is>
          <t>2025-26 Topps All Kings #AK-3 LeBron James - PSA NM-MT 8</t>
        </is>
      </c>
      <c r="C108" t="inlineStr">
        <is>
          <t>2026 Weekly Auction May 19 - May 28</t>
        </is>
      </c>
      <c r="D108" s="2" t="n">
        <v>2200</v>
      </c>
      <c r="E108" s="2" t="n">
        <v>2073.77</v>
      </c>
      <c r="F108" t="inlineStr">
        <is>
          <t>LEBRON JAMES 2025-26 Topps ALL KINGS Case Hit SSP AK-3 Lakers</t>
        </is>
      </c>
      <c r="G108" s="2" t="n">
        <v>1999</v>
      </c>
      <c r="H108" s="3" t="n">
        <v>23</v>
      </c>
      <c r="I108" s="4" t="n"/>
      <c r="J108" s="2">
        <f>IF(I108&lt;&gt;"",I108,G108)</f>
        <v/>
      </c>
      <c r="K108" s="2">
        <f>E108-J108</f>
        <v/>
      </c>
      <c r="L108" s="5">
        <f>IF(J108&gt;0,K108/J108,"")</f>
        <v/>
      </c>
    </row>
    <row r="109">
      <c r="A109" t="n">
        <v>108</v>
      </c>
      <c r="B109" t="inlineStr">
        <is>
          <t>2020-21 Panini Absolute Tools of the Trade 3 Swatch Signature #TT3-TMA Tyrese Maxey Signed Relic Rookie Card (#184/199) - PSA NM-MT 8 - Pop 2</t>
        </is>
      </c>
      <c r="C109" t="inlineStr">
        <is>
          <t>2026 Weekly Auction Mar 24 - Apr 2</t>
        </is>
      </c>
      <c r="D109" s="2" t="n">
        <v>278</v>
      </c>
      <c r="E109" s="2" t="n">
        <v>262.05</v>
      </c>
      <c r="F109" t="inlineStr">
        <is>
          <t>2020 PANINI ABSOLUTE MEMORABILIA 3 SWATCH #TMA TYRESE MAXEY RC /199 PSA 8 AUTO</t>
        </is>
      </c>
      <c r="G109" s="2" t="n">
        <v>169.5</v>
      </c>
      <c r="H109" s="6" t="n">
        <v>16</v>
      </c>
      <c r="I109" s="4" t="n"/>
      <c r="J109" s="2">
        <f>IF(I109&lt;&gt;"",I109,G109)</f>
        <v/>
      </c>
      <c r="K109" s="2">
        <f>E109-J109</f>
        <v/>
      </c>
      <c r="L109" s="5">
        <f>IF(J109&gt;0,K109/J109,"")</f>
        <v/>
      </c>
    </row>
    <row r="110">
      <c r="A110" t="n">
        <v>109</v>
      </c>
      <c r="B110" t="inlineStr">
        <is>
          <t>2023-24 Topps Cosmic Chrome SuperFractor #70 Dwyane Wade (#1/1) - PSA MINT 9</t>
        </is>
      </c>
      <c r="C110" t="inlineStr">
        <is>
          <t>2026 April Elite Auction</t>
        </is>
      </c>
      <c r="D110" s="2" t="n">
        <v>350</v>
      </c>
      <c r="E110" s="2" t="n">
        <v>329.92</v>
      </c>
      <c r="F110" t="inlineStr">
        <is>
          <t>PAUL PIERCE 2022-23 CONTENDERS TICKET CRACKED ICE BLACK BOX AUTO 1/1 Q2470</t>
        </is>
      </c>
      <c r="G110" s="2" t="n">
        <v>235.5</v>
      </c>
      <c r="H110" s="7" t="n">
        <v>14</v>
      </c>
      <c r="I110" s="4" t="n"/>
      <c r="J110" s="2">
        <f>IF(I110&lt;&gt;"",I110,G110)</f>
        <v/>
      </c>
      <c r="K110" s="2">
        <f>E110-J110</f>
        <v/>
      </c>
      <c r="L110" s="5">
        <f>IF(J110&gt;0,K110/J110,"")</f>
        <v/>
      </c>
    </row>
    <row r="111">
      <c r="A111" t="n">
        <v>110</v>
      </c>
      <c r="B111" t="inlineStr">
        <is>
          <t>1995-96 Upper Deck SP Holoviews #PC5 Michael Jordan - PSA MINT 9</t>
        </is>
      </c>
      <c r="C111" t="inlineStr">
        <is>
          <t>2026 April Elite Auction</t>
        </is>
      </c>
      <c r="D111" s="2" t="n">
        <v>425</v>
      </c>
      <c r="E111" s="2" t="n">
        <v>400.61</v>
      </c>
      <c r="F111" t="inlineStr">
        <is>
          <t>1995 SP Holoviews Michael Jordan #PC5 PSA9 -Chicago Bulls Holo Insert Slab HOF</t>
        </is>
      </c>
      <c r="G111" s="2" t="n">
        <v>279</v>
      </c>
      <c r="H111" s="6" t="n">
        <v>17</v>
      </c>
      <c r="I111" s="4" t="n"/>
      <c r="J111" s="2">
        <f>IF(I111&lt;&gt;"",I111,G111)</f>
        <v/>
      </c>
      <c r="K111" s="2">
        <f>E111-J111</f>
        <v/>
      </c>
      <c r="L111" s="5">
        <f>IF(J111&gt;0,K111/J111,"")</f>
        <v/>
      </c>
    </row>
    <row r="112">
      <c r="A112" t="n">
        <v>111</v>
      </c>
      <c r="B112" t="inlineStr">
        <is>
          <t>2003-04 eTopps #43 LeBron James Rookie Card - PSA MINT 9</t>
        </is>
      </c>
      <c r="C112" t="inlineStr">
        <is>
          <t>2026 Weekly Auction Mar 24 - Apr 2</t>
        </is>
      </c>
      <c r="D112" s="2" t="n">
        <v>306</v>
      </c>
      <c r="E112" s="2" t="n">
        <v>288.44</v>
      </c>
      <c r="F112" t="inlineStr">
        <is>
          <t>2019-20 Spectra Interstellar SP /49 #43 Lebron James PSA 9 POP 5 R6220J</t>
        </is>
      </c>
      <c r="G112" s="2" t="n">
        <v>100</v>
      </c>
      <c r="H112" s="7" t="n">
        <v>14</v>
      </c>
      <c r="I112" s="4" t="n"/>
      <c r="J112" s="2">
        <f>IF(I112&lt;&gt;"",I112,G112)</f>
        <v/>
      </c>
      <c r="K112" s="2">
        <f>E112-J112</f>
        <v/>
      </c>
      <c r="L112" s="5">
        <f>IF(J112&gt;0,K112/J112,"")</f>
        <v/>
      </c>
    </row>
    <row r="113">
      <c r="A113" t="n">
        <v>112</v>
      </c>
      <c r="B113" t="inlineStr">
        <is>
          <t>2024-25 Panini Silhouette NBA Gear Holo Gold #NG-MAX Tyrese Maxey Patch Card (#10/10) - BGS NM-MT 8</t>
        </is>
      </c>
      <c r="C113" t="inlineStr">
        <is>
          <t>2026 Weekly Auction Mar 24 - Apr 2</t>
        </is>
      </c>
      <c r="D113" s="2" t="n">
        <v>377</v>
      </c>
      <c r="E113" s="2" t="n">
        <v>355.37</v>
      </c>
      <c r="F113" t="inlineStr">
        <is>
          <t>2024-25 Panini Donruss Optic Tyrese Maxey Elite Series Auto Gold /10</t>
        </is>
      </c>
      <c r="G113" s="2" t="n">
        <v>166.5</v>
      </c>
      <c r="H113" s="6" t="n">
        <v>17</v>
      </c>
      <c r="I113" s="4" t="n"/>
      <c r="J113" s="2">
        <f>IF(I113&lt;&gt;"",I113,G113)</f>
        <v/>
      </c>
      <c r="K113" s="2">
        <f>E113-J113</f>
        <v/>
      </c>
      <c r="L113" s="5">
        <f>IF(J113&gt;0,K113/J113,"")</f>
        <v/>
      </c>
    </row>
    <row r="114">
      <c r="A114" t="n">
        <v>113</v>
      </c>
      <c r="B114" t="inlineStr">
        <is>
          <t>2023-24 Panini Immaculate Collection Gold #57 Victor Wembanyama Rookie Card (#07/10) - PSA MINT 9</t>
        </is>
      </c>
      <c r="C114" t="inlineStr">
        <is>
          <t>2026 Weekly Auction Mar 24 - Apr 2</t>
        </is>
      </c>
      <c r="D114" s="2" t="n">
        <v>1801</v>
      </c>
      <c r="E114" s="2" t="n">
        <v>1697.66</v>
      </c>
      <c r="F114" t="inlineStr">
        <is>
          <t>2023-24 Immaculate Collection #57 - Victor Wembanyama - Gold /10 (RC) PSA 9</t>
        </is>
      </c>
      <c r="G114" s="2" t="n">
        <v>1475</v>
      </c>
      <c r="H114" s="3" t="n">
        <v>25</v>
      </c>
      <c r="I114" s="4" t="n"/>
      <c r="J114" s="2">
        <f>IF(I114&lt;&gt;"",I114,G114)</f>
        <v/>
      </c>
      <c r="K114" s="2">
        <f>E114-J114</f>
        <v/>
      </c>
      <c r="L114" s="5">
        <f>IF(J114&gt;0,K114/J114,"")</f>
        <v/>
      </c>
    </row>
    <row r="115">
      <c r="A115" t="n">
        <v>114</v>
      </c>
      <c r="B115" t="inlineStr">
        <is>
          <t>2007-08 Topps Finest Refractor #24 Kobe Bryant - PSA GEM MT 10</t>
        </is>
      </c>
      <c r="C115" t="inlineStr">
        <is>
          <t>2026 April Elite Auction</t>
        </is>
      </c>
      <c r="D115" s="2" t="n">
        <v>910</v>
      </c>
      <c r="E115" s="2" t="n">
        <v>857.79</v>
      </c>
      <c r="F115" t="inlineStr">
        <is>
          <t>2007 Topps Finest Kobe Bryant #24 Refractor PSA 10 GEM MINT L.A. Lakers</t>
        </is>
      </c>
      <c r="G115" s="2" t="n">
        <v>615</v>
      </c>
      <c r="H115" s="3" t="n">
        <v>20</v>
      </c>
      <c r="I115" s="4" t="n"/>
      <c r="J115" s="2">
        <f>IF(I115&lt;&gt;"",I115,G115)</f>
        <v/>
      </c>
      <c r="K115" s="2">
        <f>E115-J115</f>
        <v/>
      </c>
      <c r="L115" s="5">
        <f>IF(J115&gt;0,K115/J115,"")</f>
        <v/>
      </c>
    </row>
    <row r="116">
      <c r="A116" t="n">
        <v>115</v>
      </c>
      <c r="B116" t="inlineStr">
        <is>
          <t>2006-07 Upper Deck Hardcourt #13 Michael Jordan - PSA GEM MT 10</t>
        </is>
      </c>
      <c r="C116" t="inlineStr">
        <is>
          <t>2026 Weekly Auction Mar 3 - Mar 12</t>
        </is>
      </c>
      <c r="D116" s="2" t="n">
        <v>280</v>
      </c>
      <c r="E116" s="2" t="n">
        <v>263.93</v>
      </c>
      <c r="F116" t="inlineStr">
        <is>
          <t>2006-07 Fleer 1986-87 Retro 20th Anniversary #131 Yao Ming Basketball Card</t>
        </is>
      </c>
      <c r="G116" s="2" t="n">
        <v>15.5</v>
      </c>
      <c r="H116" s="6" t="n">
        <v>15</v>
      </c>
      <c r="I116" s="4" t="n"/>
      <c r="J116" s="2">
        <f>IF(I116&lt;&gt;"",I116,G116)</f>
        <v/>
      </c>
      <c r="K116" s="2">
        <f>E116-J116</f>
        <v/>
      </c>
      <c r="L116" s="5">
        <f>IF(J116&gt;0,K116/J116,"")</f>
        <v/>
      </c>
    </row>
    <row r="117">
      <c r="A117" t="n">
        <v>116</v>
      </c>
      <c r="B117" t="inlineStr">
        <is>
          <t>2023-24 Panini Select Light Blue Disco #87 Victor Wembanyama Rookie Card (#71/99) - PSA GEM MT 10</t>
        </is>
      </c>
      <c r="C117" t="inlineStr">
        <is>
          <t>2026 Weekly Auction Mar 31 - Apr 9</t>
        </is>
      </c>
      <c r="D117" s="2" t="n">
        <v>999</v>
      </c>
      <c r="E117" s="2" t="n">
        <v>941.6799999999999</v>
      </c>
      <c r="F117" t="inlineStr">
        <is>
          <t>2023-24 Panini Select Victor Wembanyama #87 Disco Prizm Rookie PSA 10 Spurs</t>
        </is>
      </c>
      <c r="G117" s="2" t="n">
        <v>675</v>
      </c>
      <c r="H117" s="3" t="n">
        <v>27</v>
      </c>
      <c r="I117" s="4" t="n"/>
      <c r="J117" s="2">
        <f>IF(I117&lt;&gt;"",I117,G117)</f>
        <v/>
      </c>
      <c r="K117" s="2">
        <f>E117-J117</f>
        <v/>
      </c>
      <c r="L117" s="5">
        <f>IF(J117&gt;0,K117/J117,"")</f>
        <v/>
      </c>
    </row>
    <row r="118">
      <c r="A118" t="n">
        <v>117</v>
      </c>
      <c r="B118" t="inlineStr">
        <is>
          <t>2023-24 Panini Select Red Cracked Ice #87 Victor Wembanyama Rookie Card - PSA GEM MT 10</t>
        </is>
      </c>
      <c r="C118" t="inlineStr">
        <is>
          <t>2026 April Elite Auction</t>
        </is>
      </c>
      <c r="D118" s="2" t="n">
        <v>750</v>
      </c>
      <c r="E118" s="2" t="n">
        <v>706.97</v>
      </c>
      <c r="F118" t="inlineStr">
        <is>
          <t>Victor Wembanyama RC 2023-24 Select RED Cracked Ice #87 PSA 10 GEM MINT POP /6!</t>
        </is>
      </c>
      <c r="G118" s="2" t="n">
        <v>425</v>
      </c>
      <c r="H118" s="3" t="n">
        <v>28</v>
      </c>
      <c r="I118" s="4" t="n"/>
      <c r="J118" s="2">
        <f>IF(I118&lt;&gt;"",I118,G118)</f>
        <v/>
      </c>
      <c r="K118" s="2">
        <f>E118-J118</f>
        <v/>
      </c>
      <c r="L118" s="5">
        <f>IF(J118&gt;0,K118/J118,"")</f>
        <v/>
      </c>
    </row>
    <row r="119">
      <c r="A119" t="n">
        <v>118</v>
      </c>
      <c r="B119" t="inlineStr">
        <is>
          <t>2024 Bowman U Now Autographs Orange #170 Hannah Hidalgo Signed Rookie Card (#2/5) - Topps Encased</t>
        </is>
      </c>
      <c r="C119" t="inlineStr">
        <is>
          <t>2026 Weekly Auction Apr 21 - Apr 30</t>
        </is>
      </c>
      <c r="D119" s="2" t="n">
        <v>330</v>
      </c>
      <c r="E119" s="2" t="n">
        <v>311.07</v>
      </c>
      <c r="F119" t="inlineStr">
        <is>
          <t>2024-25 Panini Revolution - Legends Yao Ming #170 Teal Scope /35</t>
        </is>
      </c>
      <c r="G119" s="2" t="n">
        <v>20</v>
      </c>
      <c r="H119" s="6" t="n">
        <v>15</v>
      </c>
      <c r="I119" s="4" t="n"/>
      <c r="J119" s="2">
        <f>IF(I119&lt;&gt;"",I119,G119)</f>
        <v/>
      </c>
      <c r="K119" s="2">
        <f>E119-J119</f>
        <v/>
      </c>
      <c r="L119" s="5">
        <f>IF(J119&gt;0,K119/J119,"")</f>
        <v/>
      </c>
    </row>
    <row r="120">
      <c r="A120" t="n">
        <v>119</v>
      </c>
      <c r="B120" t="inlineStr">
        <is>
          <t>2025 Panini NSCC VIP Gold Prizm #43 Aaron Judge (#02/10) - PSA GEM MT 10 - Pop 3</t>
        </is>
      </c>
      <c r="C120" t="inlineStr">
        <is>
          <t>2026 April Elite Auction</t>
        </is>
      </c>
      <c r="D120" s="2" t="n">
        <v>375</v>
      </c>
      <c r="E120" s="2" t="n">
        <v>353.48</v>
      </c>
      <c r="F120" t="inlineStr">
        <is>
          <t>2025 Panini National VIP Gold Pack Aaron Judge Red Ice /99 Yankees #43</t>
        </is>
      </c>
      <c r="G120" s="2" t="n">
        <v>40</v>
      </c>
      <c r="H120" s="6" t="n">
        <v>19</v>
      </c>
      <c r="I120" s="4" t="n"/>
      <c r="J120" s="2">
        <f>IF(I120&lt;&gt;"",I120,G120)</f>
        <v/>
      </c>
      <c r="K120" s="2">
        <f>E120-J120</f>
        <v/>
      </c>
      <c r="L120" s="5">
        <f>IF(J120&gt;0,K120/J120,"")</f>
        <v/>
      </c>
    </row>
    <row r="121">
      <c r="A121" t="n">
        <v>120</v>
      </c>
      <c r="B121" t="inlineStr">
        <is>
          <t>1996-97 Topps NBA Stars #24 Michael Jordan - PSA GEM MT 10</t>
        </is>
      </c>
      <c r="C121" t="inlineStr">
        <is>
          <t>2026 Weekly Auction Mar 31 - Apr 9</t>
        </is>
      </c>
      <c r="D121" s="2" t="n">
        <v>378</v>
      </c>
      <c r="E121" s="2" t="n">
        <v>356.31</v>
      </c>
      <c r="F121" t="inlineStr">
        <is>
          <t>1996-97 Topps Stars Michael Jordan #24 Bulls PSA 9</t>
        </is>
      </c>
      <c r="G121" s="2" t="n">
        <v>37</v>
      </c>
      <c r="H121" s="3" t="n">
        <v>24</v>
      </c>
      <c r="I121" s="4" t="n"/>
      <c r="J121" s="2">
        <f>IF(I121&lt;&gt;"",I121,G121)</f>
        <v/>
      </c>
      <c r="K121" s="2">
        <f>E121-J121</f>
        <v/>
      </c>
      <c r="L121" s="5">
        <f>IF(J121&gt;0,K121/J121,"")</f>
        <v/>
      </c>
    </row>
    <row r="122">
      <c r="A122" t="n">
        <v>121</v>
      </c>
      <c r="B122" t="inlineStr">
        <is>
          <t>2025 Topps Five Star Golden Graphs #GG-RS Roki Sasaki Signed Rookie Card (#01/30) - Topps Encased</t>
        </is>
      </c>
      <c r="C122" t="inlineStr">
        <is>
          <t>2026 Weekly Auction Mar 24 - Apr 2</t>
        </is>
      </c>
      <c r="D122" s="2" t="n">
        <v>1200</v>
      </c>
      <c r="E122" s="2" t="n">
        <v>1131.15</v>
      </c>
      <c r="F122" t="inlineStr">
        <is>
          <t>2025 Topps Five Star Roki Sasaki Rookie Golden Graphs Auto 1/30 Dodgers #GG-RS</t>
        </is>
      </c>
      <c r="G122" s="2" t="n">
        <v>750</v>
      </c>
      <c r="H122" s="3" t="n">
        <v>34</v>
      </c>
      <c r="I122" s="4" t="n"/>
      <c r="J122" s="2">
        <f>IF(I122&lt;&gt;"",I122,G122)</f>
        <v/>
      </c>
      <c r="K122" s="2">
        <f>E122-J122</f>
        <v/>
      </c>
      <c r="L122" s="5">
        <f>IF(J122&gt;0,K122/J122,"")</f>
        <v/>
      </c>
    </row>
    <row r="123">
      <c r="A123" t="n">
        <v>122</v>
      </c>
      <c r="B123" t="inlineStr">
        <is>
          <t>1986 Star Michael Jordan #7 Michael Jordan - BGS NM-MT+ 8.5</t>
        </is>
      </c>
      <c r="C123" t="inlineStr">
        <is>
          <t>2026 April Elite Auction</t>
        </is>
      </c>
      <c r="D123" s="2" t="n">
        <v>2013</v>
      </c>
      <c r="E123" s="2" t="n">
        <v>1897.5</v>
      </c>
      <c r="F123" t="inlineStr">
        <is>
          <t>Michael Jordan 1986 Star #7 Career Highlights RC Hall of Fame HOF GOAT BGS 8.5</t>
        </is>
      </c>
      <c r="G123" s="2" t="n">
        <v>1511.26</v>
      </c>
      <c r="H123" s="3" t="n">
        <v>28</v>
      </c>
      <c r="I123" s="4" t="n"/>
      <c r="J123" s="2">
        <f>IF(I123&lt;&gt;"",I123,G123)</f>
        <v/>
      </c>
      <c r="K123" s="2">
        <f>E123-J123</f>
        <v/>
      </c>
      <c r="L123" s="5">
        <f>IF(J123&gt;0,K123/J123,"")</f>
        <v/>
      </c>
    </row>
    <row r="124">
      <c r="A124" t="n">
        <v>123</v>
      </c>
      <c r="B124" t="inlineStr">
        <is>
          <t>2024-25 Panini Prizm Black Gold Prizm #262 Allen Iverson (#03/10) - Jersey Number - PSA GEM MT 10 - Pop 2</t>
        </is>
      </c>
      <c r="C124" t="inlineStr">
        <is>
          <t>2026 Weekly Auction Mar 24 - Apr 2</t>
        </is>
      </c>
      <c r="D124" s="2" t="n">
        <v>730</v>
      </c>
      <c r="E124" s="2" t="n">
        <v>688.11</v>
      </c>
      <c r="F124" t="inlineStr">
        <is>
          <t>2020-21 Prizm Tyrese Haliburton RC Silver Prizms #262 Kings PSA 10</t>
        </is>
      </c>
      <c r="G124" s="2" t="n">
        <v>295</v>
      </c>
      <c r="H124" s="7" t="n">
        <v>13</v>
      </c>
      <c r="I124" s="4" t="n"/>
      <c r="J124" s="2">
        <f>IF(I124&lt;&gt;"",I124,G124)</f>
        <v/>
      </c>
      <c r="K124" s="2">
        <f>E124-J124</f>
        <v/>
      </c>
      <c r="L124" s="5">
        <f>IF(J124&gt;0,K124/J124,"")</f>
        <v/>
      </c>
    </row>
    <row r="125">
      <c r="A125" t="n">
        <v>124</v>
      </c>
      <c r="B125" t="inlineStr">
        <is>
          <t>2022-23 Panini Flawless Draft Gem Signatures Sapphire #DGS-NKJ Nikola Jokic Signed Card (#7/8) - Panini Encased</t>
        </is>
      </c>
      <c r="C125" t="inlineStr">
        <is>
          <t>2026 March Elite Auction</t>
        </is>
      </c>
      <c r="D125" s="2" t="n">
        <v>1101</v>
      </c>
      <c r="E125" s="2" t="n">
        <v>1037.83</v>
      </c>
      <c r="F125" t="inlineStr">
        <is>
          <t>2022-23 Panini Flawless Nikola Jokic All-NBA Ink Auto Blue /8 #ALL-NKJ Nuggets</t>
        </is>
      </c>
      <c r="G125" s="2" t="n">
        <v>640</v>
      </c>
      <c r="H125" s="3" t="n">
        <v>20</v>
      </c>
      <c r="I125" s="4" t="n"/>
      <c r="J125" s="2">
        <f>IF(I125&lt;&gt;"",I125,G125)</f>
        <v/>
      </c>
      <c r="K125" s="2">
        <f>E125-J125</f>
        <v/>
      </c>
      <c r="L125" s="5">
        <f>IF(J125&gt;0,K125/J125,"")</f>
        <v/>
      </c>
    </row>
    <row r="126">
      <c r="A126" t="n">
        <v>125</v>
      </c>
      <c r="B126" t="inlineStr">
        <is>
          <t>2016-17 Panini Gold Standard Mother Lode Autograph #13 Yao Ming Signed Card (#25/25) - PSA Authentic, PSA/DNA GEM MT 10</t>
        </is>
      </c>
      <c r="C126" t="inlineStr">
        <is>
          <t>2026 Weekly Auction Mar 24 - Apr 2</t>
        </is>
      </c>
      <c r="D126" s="2" t="n">
        <v>675</v>
      </c>
      <c r="E126" s="2" t="n">
        <v>636.27</v>
      </c>
      <c r="F126" t="inlineStr">
        <is>
          <t>25/25 ≈1/1 ! 2016-17 Gold Standard Yao Ming #13 Mother Lode PSA 10 Auto POP 1</t>
        </is>
      </c>
      <c r="G126" s="2" t="n">
        <v>201.5</v>
      </c>
      <c r="H126" s="3" t="n">
        <v>29</v>
      </c>
      <c r="I126" s="4" t="n"/>
      <c r="J126" s="2">
        <f>IF(I126&lt;&gt;"",I126,G126)</f>
        <v/>
      </c>
      <c r="K126" s="2">
        <f>E126-J126</f>
        <v/>
      </c>
      <c r="L126" s="5">
        <f>IF(J126&gt;0,K126/J126,"")</f>
        <v/>
      </c>
    </row>
    <row r="127">
      <c r="A127" t="n">
        <v>126</v>
      </c>
      <c r="B127" t="inlineStr">
        <is>
          <t>2021-22 Panini Spectra Universal Die-Cut #30 Stephen Curry (#3/8) - PSA GEM MT 10</t>
        </is>
      </c>
      <c r="C127" t="inlineStr">
        <is>
          <t>2026 Weekly Auction Mar 3 - Mar 12</t>
        </is>
      </c>
      <c r="D127" s="2" t="n">
        <v>601</v>
      </c>
      <c r="E127" s="2" t="n">
        <v>566.52</v>
      </c>
      <c r="F127" t="inlineStr">
        <is>
          <t>2021-22 Panini Prizm Rookie Variation Fast Break #301 Josh Giddey SP RC THUNDER</t>
        </is>
      </c>
      <c r="G127" s="2" t="n">
        <v>5.5</v>
      </c>
      <c r="H127" s="6" t="n">
        <v>15</v>
      </c>
      <c r="I127" s="4" t="n"/>
      <c r="J127" s="2">
        <f>IF(I127&lt;&gt;"",I127,G127)</f>
        <v/>
      </c>
      <c r="K127" s="2">
        <f>E127-J127</f>
        <v/>
      </c>
      <c r="L127" s="5">
        <f>IF(J127&gt;0,K127/J127,"")</f>
        <v/>
      </c>
    </row>
    <row r="128">
      <c r="A128" t="n">
        <v>127</v>
      </c>
      <c r="B128" t="inlineStr">
        <is>
          <t>1997-98 Fleer Ultra Gold Medallion #1G Kobe Bryant - PSA MINT 9</t>
        </is>
      </c>
      <c r="C128" t="inlineStr">
        <is>
          <t>2026 Weekly Auction May 19 - May 28</t>
        </is>
      </c>
      <c r="D128" s="2" t="n">
        <v>1408</v>
      </c>
      <c r="E128" s="2" t="n">
        <v>1327.21</v>
      </c>
      <c r="F128" t="inlineStr">
        <is>
          <t>1997 FLEER ULTRA GOLD MEDALLION #1G KOBE BRYANT PSA 9</t>
        </is>
      </c>
      <c r="G128" s="2" t="n">
        <v>681.84</v>
      </c>
      <c r="H128" s="3" t="n">
        <v>23</v>
      </c>
      <c r="I128" s="4" t="n"/>
      <c r="J128" s="2">
        <f>IF(I128&lt;&gt;"",I128,G128)</f>
        <v/>
      </c>
      <c r="K128" s="2">
        <f>E128-J128</f>
        <v/>
      </c>
      <c r="L128" s="5">
        <f>IF(J128&gt;0,K128/J128,"")</f>
        <v/>
      </c>
    </row>
    <row r="129">
      <c r="A129" t="n">
        <v>128</v>
      </c>
      <c r="B129" t="inlineStr">
        <is>
          <t>2002-03 Topps Chrome Black Refractor #146 Yao Ming Rookie Card (#20/99) - PSA MINT 9</t>
        </is>
      </c>
      <c r="C129" t="inlineStr">
        <is>
          <t>2026 April Elite Auction</t>
        </is>
      </c>
      <c r="D129" s="2" t="n">
        <v>2751</v>
      </c>
      <c r="E129" s="2" t="n">
        <v>2593.16</v>
      </c>
      <c r="F129" t="inlineStr">
        <is>
          <t>2002-03 Topps Chrome Yao Ming Refractor Rookie RC #146 Rockets PSA 10</t>
        </is>
      </c>
      <c r="G129" s="2" t="n">
        <v>1900</v>
      </c>
      <c r="H129" s="3" t="n">
        <v>26</v>
      </c>
      <c r="I129" s="4" t="n"/>
      <c r="J129" s="2">
        <f>IF(I129&lt;&gt;"",I129,G129)</f>
        <v/>
      </c>
      <c r="K129" s="2">
        <f>E129-J129</f>
        <v/>
      </c>
      <c r="L129" s="5">
        <f>IF(J129&gt;0,K129/J129,"")</f>
        <v/>
      </c>
    </row>
    <row r="130">
      <c r="A130" t="n">
        <v>129</v>
      </c>
      <c r="B130" t="inlineStr">
        <is>
          <t>2018-19 Panini Impeccable Stainless Stars Autograph #SA-SGA Shai Gilgeous-Alexander Signed Rookie Card (#74/99) - PSA Authentic, PSA/DNA GEM MT 10</t>
        </is>
      </c>
      <c r="C130" t="inlineStr">
        <is>
          <t>2026 March Elite Auction</t>
        </is>
      </c>
      <c r="D130" s="2" t="n">
        <v>1600</v>
      </c>
      <c r="E130" s="2" t="n">
        <v>1508.2</v>
      </c>
      <c r="F130" t="inlineStr">
        <is>
          <t>2018-19 Panini Donruss /99 Shai Gilgeous-Alexander #TT-SGA Rookie Auto RC</t>
        </is>
      </c>
      <c r="G130" s="2" t="n">
        <v>579.99</v>
      </c>
      <c r="H130" s="3" t="n">
        <v>21</v>
      </c>
      <c r="I130" s="4" t="n"/>
      <c r="J130" s="2">
        <f>IF(I130&lt;&gt;"",I130,G130)</f>
        <v/>
      </c>
      <c r="K130" s="2">
        <f>E130-J130</f>
        <v/>
      </c>
      <c r="L130" s="5">
        <f>IF(J130&gt;0,K130/J130,"")</f>
        <v/>
      </c>
    </row>
    <row r="131">
      <c r="A131" t="n">
        <v>130</v>
      </c>
      <c r="B131" t="inlineStr">
        <is>
          <t>2023-24 Topps Chrome Autographs #CG-VW Victor Wembanyama Signed Rookie Card - PSA NM-MT 8</t>
        </is>
      </c>
      <c r="C131" t="inlineStr">
        <is>
          <t>2026 Weekly Auction May 19 - May 28</t>
        </is>
      </c>
      <c r="D131" s="2" t="n">
        <v>2750</v>
      </c>
      <c r="E131" s="2" t="n">
        <v>2592.21</v>
      </c>
      <c r="F131" t="inlineStr">
        <is>
          <t>2023-24 Topps Chrome Victor Wembanyama #CG-VW Rookie RC Spurs PSA 10 Auto POP 2</t>
        </is>
      </c>
      <c r="G131" s="2" t="n">
        <v>1605</v>
      </c>
      <c r="H131" s="3" t="n">
        <v>26</v>
      </c>
      <c r="I131" s="4" t="n"/>
      <c r="J131" s="2">
        <f>IF(I131&lt;&gt;"",I131,G131)</f>
        <v/>
      </c>
      <c r="K131" s="2">
        <f>E131-J131</f>
        <v/>
      </c>
      <c r="L131" s="5">
        <f>IF(J131&gt;0,K131/J131,"")</f>
        <v/>
      </c>
    </row>
    <row r="132">
      <c r="A132" t="n">
        <v>131</v>
      </c>
      <c r="B132" t="inlineStr">
        <is>
          <t>2024-25 Panini Eminence Thrilliant Signatures Emerald #TS-SGA Shai Gilgeous-Alexander Signed Card (#1/3) - Panini Encased</t>
        </is>
      </c>
      <c r="C132" t="inlineStr">
        <is>
          <t>2026 April Elite Auction</t>
        </is>
      </c>
      <c r="D132" s="2" t="n">
        <v>1375</v>
      </c>
      <c r="E132" s="2" t="n">
        <v>1296.11</v>
      </c>
      <c r="F132" t="inlineStr">
        <is>
          <t>2024-25 Panini Immaculate Shai Gilgeous-Alexander Game Worn Patch /25 MAT-SGA</t>
        </is>
      </c>
      <c r="G132" s="2" t="n">
        <v>153.5</v>
      </c>
      <c r="H132" s="6" t="n">
        <v>16</v>
      </c>
      <c r="I132" s="4" t="n"/>
      <c r="J132" s="2">
        <f>IF(I132&lt;&gt;"",I132,G132)</f>
        <v/>
      </c>
      <c r="K132" s="2">
        <f>E132-J132</f>
        <v/>
      </c>
      <c r="L132" s="5">
        <f>IF(J132&gt;0,K132/J132,"")</f>
        <v/>
      </c>
    </row>
    <row r="133">
      <c r="A133" t="n">
        <v>132</v>
      </c>
      <c r="B133" t="inlineStr">
        <is>
          <t>2002-03 Topps Finest Refractor #100 Michael Jordan (#143/250) - PSA NM-MT 8</t>
        </is>
      </c>
      <c r="C133" t="inlineStr">
        <is>
          <t>2026 Weekly Auction Mar 31 - Apr 9</t>
        </is>
      </c>
      <c r="D133" s="2" t="n">
        <v>1325</v>
      </c>
      <c r="E133" s="2" t="n">
        <v>1248.98</v>
      </c>
      <c r="F133" t="inlineStr">
        <is>
          <t>2025-26 Topps Finest Stephen Curry Common Purple Geometric Refractor #/100</t>
        </is>
      </c>
      <c r="G133" s="2" t="n">
        <v>65</v>
      </c>
      <c r="H133" s="6" t="n">
        <v>16</v>
      </c>
      <c r="I133" s="4" t="n"/>
      <c r="J133" s="2">
        <f>IF(I133&lt;&gt;"",I133,G133)</f>
        <v/>
      </c>
      <c r="K133" s="2">
        <f>E133-J133</f>
        <v/>
      </c>
      <c r="L133" s="5">
        <f>IF(J133&gt;0,K133/J133,"")</f>
        <v/>
      </c>
    </row>
    <row r="134">
      <c r="A134" t="n">
        <v>133</v>
      </c>
      <c r="B134" t="inlineStr">
        <is>
          <t>2024 Topps 50/50 Chrome Rose Gold Refractor #15 Shohei Ohtani (#04/17) - PSA MINT 9</t>
        </is>
      </c>
      <c r="C134" t="inlineStr">
        <is>
          <t>2026 Weekly Auction Apr 28 - May 7</t>
        </is>
      </c>
      <c r="D134" s="2" t="n">
        <v>1350</v>
      </c>
      <c r="E134" s="2" t="n">
        <v>1272.54</v>
      </c>
      <c r="F134" t="inlineStr">
        <is>
          <t>2024-25 Topps Chrome Ajay Mitchell SkyWrite Auto BLUE REFRACTOR /150 OKC</t>
        </is>
      </c>
      <c r="G134" s="2" t="n">
        <v>25</v>
      </c>
      <c r="H134" s="6" t="n">
        <v>18</v>
      </c>
      <c r="I134" s="4" t="n"/>
      <c r="J134" s="2">
        <f>IF(I134&lt;&gt;"",I134,G134)</f>
        <v/>
      </c>
      <c r="K134" s="2">
        <f>E134-J134</f>
        <v/>
      </c>
      <c r="L134" s="5">
        <f>IF(J134&gt;0,K134/J134,"")</f>
        <v/>
      </c>
    </row>
    <row r="135">
      <c r="A135" t="n">
        <v>134</v>
      </c>
      <c r="B135" t="inlineStr">
        <is>
          <t>2025 Bowman U Chrome Black Refractor #109 Fernando Mendoza Rookie Card (#04/10) - PSA GEM MT 10 - Pop 2</t>
        </is>
      </c>
      <c r="C135" t="inlineStr">
        <is>
          <t>2026 April Elite Auction</t>
        </is>
      </c>
      <c r="D135" s="2" t="n">
        <v>2050</v>
      </c>
      <c r="E135" s="2" t="n">
        <v>1932.38</v>
      </c>
      <c r="F135" t="inlineStr">
        <is>
          <t>2025 Bowman Chrome U Black Refractor #109 Fernando Mendoza # 4/10 Indiana</t>
        </is>
      </c>
      <c r="G135" s="2" t="n">
        <v>658</v>
      </c>
      <c r="H135" s="3" t="n">
        <v>30</v>
      </c>
      <c r="I135" s="4" t="n"/>
      <c r="J135" s="2">
        <f>IF(I135&lt;&gt;"",I135,G135)</f>
        <v/>
      </c>
      <c r="K135" s="2">
        <f>E135-J135</f>
        <v/>
      </c>
      <c r="L135" s="5">
        <f>IF(J135&gt;0,K135/J135,"")</f>
        <v/>
      </c>
    </row>
    <row r="136">
      <c r="A136" t="n">
        <v>135</v>
      </c>
      <c r="B136" t="inlineStr">
        <is>
          <t>2024-25 Panini National Treasures Viewpoint Signatures Emerald #VP-SGA Shai Gilgeous-Alexander Signed Card (#2/5) - Jersey Number - Panini Encased</t>
        </is>
      </c>
      <c r="C136" t="inlineStr">
        <is>
          <t>2026 Weekly Auction Mar 24 - Apr 2</t>
        </is>
      </c>
      <c r="D136" s="2" t="n">
        <v>1600</v>
      </c>
      <c r="E136" s="2" t="n">
        <v>1508.2</v>
      </c>
      <c r="F136" t="inlineStr">
        <is>
          <t>2024-25 Panini Immaculate Shai Gilgeous-Alexander Game Worn Patch /25 MAT-SGA</t>
        </is>
      </c>
      <c r="G136" s="2" t="n">
        <v>153.5</v>
      </c>
      <c r="H136" s="6" t="n">
        <v>16</v>
      </c>
      <c r="I136" s="4" t="n"/>
      <c r="J136" s="2">
        <f>IF(I136&lt;&gt;"",I136,G136)</f>
        <v/>
      </c>
      <c r="K136" s="2">
        <f>E136-J136</f>
        <v/>
      </c>
      <c r="L136" s="5">
        <f>IF(J136&gt;0,K136/J136,"")</f>
        <v/>
      </c>
    </row>
    <row r="137">
      <c r="A137" t="n">
        <v>136</v>
      </c>
      <c r="B137" t="inlineStr">
        <is>
          <t>2023-24 Panini Prizm Kaleidoscopic Gold Prizm #21 Stephen Curry (#04/10) - PSA GEM MT 10 - Pop 4</t>
        </is>
      </c>
      <c r="C137" t="inlineStr">
        <is>
          <t>2026 Weekly Auction Mar 24 - Apr 2</t>
        </is>
      </c>
      <c r="D137" s="2" t="n">
        <v>1700</v>
      </c>
      <c r="E137" s="2" t="n">
        <v>1602.46</v>
      </c>
      <c r="F137" t="inlineStr">
        <is>
          <t>2023-24 Panini Select Victor Wembanyama Blue Prizm Holo Rookie #121 RC PSA 10 💙</t>
        </is>
      </c>
      <c r="G137" s="2" t="n">
        <v>129</v>
      </c>
      <c r="H137" s="6" t="n">
        <v>18</v>
      </c>
      <c r="I137" s="4" t="n"/>
      <c r="J137" s="2">
        <f>IF(I137&lt;&gt;"",I137,G137)</f>
        <v/>
      </c>
      <c r="K137" s="2">
        <f>E137-J137</f>
        <v/>
      </c>
      <c r="L137" s="5">
        <f>IF(J137&gt;0,K137/J137,"")</f>
        <v/>
      </c>
    </row>
    <row r="138">
      <c r="A138" t="n">
        <v>137</v>
      </c>
      <c r="B138" t="inlineStr">
        <is>
          <t>2020-21 Donruss Optic Autograph Choice #151 Anthony Edwards Signed Rookie Card - PSA GEM MT 10</t>
        </is>
      </c>
      <c r="C138" t="inlineStr">
        <is>
          <t>2026 Weekly Auction Mar 24 - Apr 2</t>
        </is>
      </c>
      <c r="D138" s="2" t="n">
        <v>1975</v>
      </c>
      <c r="E138" s="2" t="n">
        <v>1861.68</v>
      </c>
      <c r="F138" t="inlineStr">
        <is>
          <t>2020-21 Donruss Optic- Rated Rookie Red Pulsar Prizm #151 Anthony Edwards PSA 10</t>
        </is>
      </c>
      <c r="G138" s="2" t="n">
        <v>360</v>
      </c>
      <c r="H138" s="3" t="n">
        <v>27</v>
      </c>
      <c r="I138" s="4" t="n"/>
      <c r="J138" s="2">
        <f>IF(I138&lt;&gt;"",I138,G138)</f>
        <v/>
      </c>
      <c r="K138" s="2">
        <f>E138-J138</f>
        <v/>
      </c>
      <c r="L138" s="5">
        <f>IF(J138&gt;0,K138/J138,"")</f>
        <v/>
      </c>
    </row>
    <row r="139">
      <c r="A139" t="n">
        <v>138</v>
      </c>
      <c r="B139" t="inlineStr">
        <is>
          <t>2024-25 Panini Flawless Phrases Signatures #FPS-SGA Shai Gilgeous-Alexander Signed Card (#4/5) - Panini Encased</t>
        </is>
      </c>
      <c r="C139" t="inlineStr">
        <is>
          <t>2026 April Elite Auction</t>
        </is>
      </c>
      <c r="D139" s="2" t="n">
        <v>1900</v>
      </c>
      <c r="E139" s="2" t="n">
        <v>1790.98</v>
      </c>
      <c r="F139" t="inlineStr">
        <is>
          <t>2024-25 Panini Immaculate Shai Gilgeous-Alexander Game Worn Patch /25 MAT-SGA</t>
        </is>
      </c>
      <c r="G139" s="2" t="n">
        <v>153.5</v>
      </c>
      <c r="H139" s="6" t="n">
        <v>16</v>
      </c>
      <c r="I139" s="4" t="n"/>
      <c r="J139" s="2">
        <f>IF(I139&lt;&gt;"",I139,G139)</f>
        <v/>
      </c>
      <c r="K139" s="2">
        <f>E139-J139</f>
        <v/>
      </c>
      <c r="L139" s="5">
        <f>IF(J139&gt;0,K139/J139,"")</f>
        <v/>
      </c>
    </row>
    <row r="140">
      <c r="A140" t="n">
        <v>139</v>
      </c>
      <c r="B140" t="inlineStr">
        <is>
          <t>2024-25 Panini Eminence Gilded Graphs Emerald #GG-SGA Shai Gilgeous-Alexander Signed Card (#1/3) - Panini Encased</t>
        </is>
      </c>
      <c r="C140" t="inlineStr">
        <is>
          <t>2026 March Elite Auction</t>
        </is>
      </c>
      <c r="D140" s="2" t="n">
        <v>1900</v>
      </c>
      <c r="E140" s="2" t="n">
        <v>1790.98</v>
      </c>
      <c r="F140" t="inlineStr">
        <is>
          <t>2024-25 Panini Immaculate Shai Gilgeous-Alexander Game Worn Patch /25 MAT-SGA</t>
        </is>
      </c>
      <c r="G140" s="2" t="n">
        <v>153.5</v>
      </c>
      <c r="H140" s="6" t="n">
        <v>16</v>
      </c>
      <c r="I140" s="4" t="n"/>
      <c r="J140" s="2">
        <f>IF(I140&lt;&gt;"",I140,G140)</f>
        <v/>
      </c>
      <c r="K140" s="2">
        <f>E140-J140</f>
        <v/>
      </c>
      <c r="L140" s="5">
        <f>IF(J140&gt;0,K140/J140,"")</f>
        <v/>
      </c>
    </row>
    <row r="141">
      <c r="A141" t="n">
        <v>140</v>
      </c>
      <c r="B141" t="inlineStr">
        <is>
          <t>2024 Topps 50/50 Chrome Red Refractor #39 Shohei Ohtani (#1/5) - PSA MINT 9</t>
        </is>
      </c>
      <c r="C141" t="inlineStr">
        <is>
          <t>2026 April Elite Auction</t>
        </is>
      </c>
      <c r="D141" s="2" t="n">
        <v>1950</v>
      </c>
      <c r="E141" s="2" t="n">
        <v>1838.11</v>
      </c>
      <c r="F141" t="inlineStr">
        <is>
          <t>2024 Bowman Jackson Chourio Chrome Prospects Orange Refractor #7/25 Brewers B394</t>
        </is>
      </c>
      <c r="G141" s="2" t="n">
        <v>81</v>
      </c>
      <c r="H141" s="6" t="n">
        <v>18</v>
      </c>
      <c r="I141" s="4" t="n"/>
      <c r="J141" s="2">
        <f>IF(I141&lt;&gt;"",I141,G141)</f>
        <v/>
      </c>
      <c r="K141" s="2">
        <f>E141-J141</f>
        <v/>
      </c>
      <c r="L141" s="5">
        <f>IF(J141&gt;0,K141/J141,"")</f>
        <v/>
      </c>
    </row>
    <row r="142">
      <c r="A142" t="n">
        <v>141</v>
      </c>
      <c r="B142" t="inlineStr">
        <is>
          <t>2018-19 Panini Impeccable Rookie Signatures #IR-SGA Shai Gilgeous-Alexander Signed Rookie Card (#22/99) - PSA GEM MT 10 - Pop 4</t>
        </is>
      </c>
      <c r="C142" t="inlineStr">
        <is>
          <t>2026 April Elite Auction</t>
        </is>
      </c>
      <c r="D142" s="2" t="n">
        <v>3150</v>
      </c>
      <c r="E142" s="2" t="n">
        <v>2969.26</v>
      </c>
      <c r="F142" t="inlineStr">
        <is>
          <t>2018-19 Panini Donruss /99 Shai Gilgeous-Alexander #TT-SGA Rookie Auto RC</t>
        </is>
      </c>
      <c r="G142" s="2" t="n">
        <v>579.99</v>
      </c>
      <c r="H142" s="3" t="n">
        <v>20</v>
      </c>
      <c r="I142" s="4" t="n"/>
      <c r="J142" s="2">
        <f>IF(I142&lt;&gt;"",I142,G142)</f>
        <v/>
      </c>
      <c r="K142" s="2">
        <f>E142-J142</f>
        <v/>
      </c>
      <c r="L142" s="5">
        <f>IF(J142&gt;0,K142/J142,"")</f>
        <v/>
      </c>
    </row>
    <row r="143">
      <c r="A143" t="n">
        <v>142</v>
      </c>
      <c r="B143" t="inlineStr">
        <is>
          <t>2018-19 Panini National Treasures Lasting Legacies Super Prime #LL-SON Shaquille O'Neal Signed Patch Card (#1/1) - Panini Encased</t>
        </is>
      </c>
      <c r="C143" t="inlineStr">
        <is>
          <t>2026 Weekly Auction Mar 24 - Apr 2</t>
        </is>
      </c>
      <c r="D143" s="2" t="n">
        <v>4800</v>
      </c>
      <c r="E143" s="2" t="n">
        <v>4524.59</v>
      </c>
      <c r="F143" t="inlineStr">
        <is>
          <t>2018-19 National Treasures Allen Iverson All Decade Gold Auto #/10</t>
        </is>
      </c>
      <c r="G143" s="2" t="n">
        <v>293.88</v>
      </c>
      <c r="H143" s="6" t="n">
        <v>16</v>
      </c>
      <c r="I143" s="4" t="n"/>
      <c r="J143" s="2">
        <f>IF(I143&lt;&gt;"",I143,G143)</f>
        <v/>
      </c>
      <c r="K143" s="2">
        <f>E143-J143</f>
        <v/>
      </c>
      <c r="L143" s="5">
        <f>IF(J143&gt;0,K143/J143,"")</f>
        <v/>
      </c>
    </row>
    <row r="144">
      <c r="A144" t="n">
        <v>143</v>
      </c>
      <c r="B144" t="inlineStr">
        <is>
          <t>2013 Upper Deck All-Time Greats Base Autographs #73 Michael Jordan Signed Card (#1/1) - BGS MINT 9</t>
        </is>
      </c>
      <c r="C144" t="inlineStr">
        <is>
          <t>2026 April Elite Auction</t>
        </is>
      </c>
      <c r="D144" s="2" t="n">
        <v>18350</v>
      </c>
      <c r="E144" s="2" t="n">
        <v>17297.13</v>
      </c>
      <c r="F144" t="inlineStr">
        <is>
          <t>2013 UD All Time Greats Michael Jordan #73 Auto 1/1!! BGS 9</t>
        </is>
      </c>
      <c r="G144" s="2" t="n">
        <v>10000</v>
      </c>
      <c r="H144" s="3" t="n">
        <v>30</v>
      </c>
      <c r="I144" s="4" t="n"/>
      <c r="J144" s="2">
        <f>IF(I144&lt;&gt;"",I144,G144)</f>
        <v/>
      </c>
      <c r="K144" s="2">
        <f>E144-J144</f>
        <v/>
      </c>
      <c r="L144" s="5">
        <f>IF(J144&gt;0,K144/J144,"")</f>
        <v/>
      </c>
    </row>
    <row r="145">
      <c r="A145" t="n">
        <v>144</v>
      </c>
      <c r="B145" t="inlineStr">
        <is>
          <t>2019 Panini Industry Summit 2015-16 National Treasures Rookie Autograph #152 Nikola Jokic Signed Rookie Card (#1/1) - PSA MINT 9, PSA/DNA GEM MT 10</t>
        </is>
      </c>
      <c r="C145" t="inlineStr">
        <is>
          <t>2026 March Elite Auction</t>
        </is>
      </c>
      <c r="D145" s="2" t="n">
        <v>9000</v>
      </c>
      <c r="E145" s="2" t="n">
        <v>8483.610000000001</v>
      </c>
      <c r="F145" t="inlineStr">
        <is>
          <t>JARED MCCAIN 2024-25 OBSIDIAN ROOKIE GOLD FLOOD ETCH #152 RC /10 PSA 9 Q4945</t>
        </is>
      </c>
      <c r="G145" s="2" t="n">
        <v>114.05</v>
      </c>
      <c r="H145" s="7" t="n">
        <v>14</v>
      </c>
      <c r="I145" s="4" t="n"/>
      <c r="J145" s="2">
        <f>IF(I145&lt;&gt;"",I145,G145)</f>
        <v/>
      </c>
      <c r="K145" s="2">
        <f>E145-J145</f>
        <v/>
      </c>
      <c r="L145" s="5">
        <f>IF(J145&gt;0,K145/J145,"")</f>
        <v/>
      </c>
    </row>
    <row r="147">
      <c r="D147" s="8" t="inlineStr">
        <is>
          <t>TOTALS:</t>
        </is>
      </c>
      <c r="E147" s="9">
        <f>SUM(E2:E145)</f>
        <v/>
      </c>
      <c r="J147" s="9">
        <f>SUM(J2:J145)</f>
        <v/>
      </c>
      <c r="K147" s="10">
        <f>SUM(K2:K145)</f>
        <v/>
      </c>
      <c r="L147" s="11">
        <f>IF(J147&gt;0,K147/J147,"")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30" customWidth="1" min="3" max="3"/>
    <col width="16" customWidth="1" min="4" max="4"/>
    <col width="14" customWidth="1" min="5" max="5"/>
    <col width="50" customWidth="1" min="6" max="6"/>
    <col width="12" customWidth="1" min="7" max="7"/>
    <col width="16" customWidth="1" min="8" max="8"/>
    <col width="12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Goldin Card</t>
        </is>
      </c>
      <c r="C1" s="1" t="inlineStr">
        <is>
          <t>Auction</t>
        </is>
      </c>
      <c r="D1" s="1" t="inlineStr">
        <is>
          <t>Goldin Final (w/BP)</t>
        </is>
      </c>
      <c r="E1" s="1" t="inlineStr">
        <is>
          <t>Seller Proceeds</t>
        </is>
      </c>
      <c r="F1" s="1" t="inlineStr">
        <is>
          <t>Best Guess Match</t>
        </is>
      </c>
      <c r="G1" s="1" t="inlineStr">
        <is>
          <t>Guess Cost</t>
        </is>
      </c>
      <c r="H1" s="1" t="inlineStr">
        <is>
          <t>YOUR COST ← ENTER</t>
        </is>
      </c>
      <c r="I1" s="1" t="inlineStr">
        <is>
          <t>P&amp;L</t>
        </is>
      </c>
      <c r="J1" s="1" t="inlineStr">
        <is>
          <t>Return</t>
        </is>
      </c>
    </row>
    <row r="2">
      <c r="A2" t="n">
        <v>1</v>
      </c>
      <c r="B2" t="inlineStr">
        <is>
          <t>2019 Panini Flawless Triple Legends Sapphire #TL-MRG Mickey Mantle/Babe Ruth/Lou Gehrig Relic Card (#05/15) - PSA GEM MT 10 - Pop 2</t>
        </is>
      </c>
      <c r="C2" t="inlineStr">
        <is>
          <t>2026 Weekly Auction Mar 24 - Apr 2</t>
        </is>
      </c>
      <c r="D2" s="2" t="n">
        <v>7001</v>
      </c>
      <c r="E2" s="2" t="n">
        <v>6599.3</v>
      </c>
      <c r="F2" t="inlineStr"/>
      <c r="G2" s="2" t="n">
        <v>0</v>
      </c>
      <c r="H2" s="4" t="n"/>
      <c r="I2" s="2">
        <f>IF(H2&lt;&gt;"",E2-H2,"")</f>
        <v/>
      </c>
      <c r="J2" s="5">
        <f>IF(H2&lt;&gt;"",I2/H2,"")</f>
        <v/>
      </c>
    </row>
    <row r="3">
      <c r="A3" t="n">
        <v>2</v>
      </c>
      <c r="B3" t="inlineStr">
        <is>
          <t>2023-24 Topps Chrome 1972 Topps Autographs Gold Refractor #TA-VW Victor Wembanyama Signed Rookie Card (#04/50) - PSA MINT 9</t>
        </is>
      </c>
      <c r="C3" t="inlineStr">
        <is>
          <t>2026 Weekly Auction May 19 - May 28</t>
        </is>
      </c>
      <c r="D3" s="2" t="n">
        <v>6194</v>
      </c>
      <c r="E3" s="2" t="n">
        <v>5838.61</v>
      </c>
      <c r="F3" t="inlineStr"/>
      <c r="G3" s="2" t="n">
        <v>0</v>
      </c>
      <c r="H3" s="4" t="n"/>
      <c r="I3" s="2">
        <f>IF(H3&lt;&gt;"",E3-H3,"")</f>
        <v/>
      </c>
      <c r="J3" s="5">
        <f>IF(H3&lt;&gt;"",I3/H3,"")</f>
        <v/>
      </c>
    </row>
    <row r="4">
      <c r="A4" t="n">
        <v>3</v>
      </c>
      <c r="B4" t="inlineStr">
        <is>
          <t>2018-19 Panini National Treasures Peerless Signatures #PS-KBR Kobe Bryant Signed Card (#03/25) - BGS MINT 9, Beckett 10</t>
        </is>
      </c>
      <c r="C4" t="inlineStr">
        <is>
          <t>2026 April Elite Auction</t>
        </is>
      </c>
      <c r="D4" s="2" t="n">
        <v>3500</v>
      </c>
      <c r="E4" s="2" t="n">
        <v>3299.18</v>
      </c>
      <c r="F4" t="inlineStr"/>
      <c r="G4" s="2" t="n">
        <v>0</v>
      </c>
      <c r="H4" s="4" t="n"/>
      <c r="I4" s="2">
        <f>IF(H4&lt;&gt;"",E4-H4,"")</f>
        <v/>
      </c>
      <c r="J4" s="5">
        <f>IF(H4&lt;&gt;"",I4/H4,"")</f>
        <v/>
      </c>
    </row>
    <row r="5">
      <c r="A5" t="n">
        <v>4</v>
      </c>
      <c r="B5" t="inlineStr">
        <is>
          <t>2015-16 Panini Noir Autographs Color Gold #NC-KBR Kobe Bryant Signed Card (#4/5) - PSA EX-MT 6 - Pop 1</t>
        </is>
      </c>
      <c r="C5" t="inlineStr">
        <is>
          <t>2026 March Elite Auction</t>
        </is>
      </c>
      <c r="D5" s="2" t="n">
        <v>3300</v>
      </c>
      <c r="E5" s="2" t="n">
        <v>3110.66</v>
      </c>
      <c r="F5" t="inlineStr"/>
      <c r="G5" s="2" t="n">
        <v>0</v>
      </c>
      <c r="H5" s="4" t="n"/>
      <c r="I5" s="2">
        <f>IF(H5&lt;&gt;"",E5-H5,"")</f>
        <v/>
      </c>
      <c r="J5" s="5">
        <f>IF(H5&lt;&gt;"",I5/H5,"")</f>
        <v/>
      </c>
    </row>
    <row r="6">
      <c r="A6" t="n">
        <v>5</v>
      </c>
      <c r="B6" t="inlineStr">
        <is>
          <t>2013 Upper Deck All-Time Greats Signatures Silver #ATG-LJ3 LeBron James Signed Card (#3/5) - BGS MINT 9, Beckett 10</t>
        </is>
      </c>
      <c r="C6" t="inlineStr">
        <is>
          <t>2026 April Elite Auction</t>
        </is>
      </c>
      <c r="D6" s="2" t="n">
        <v>3256</v>
      </c>
      <c r="E6" s="2" t="n">
        <v>3069.18</v>
      </c>
      <c r="F6" t="inlineStr"/>
      <c r="G6" s="2" t="n">
        <v>0</v>
      </c>
      <c r="H6" s="4" t="n"/>
      <c r="I6" s="2">
        <f>IF(H6&lt;&gt;"",E6-H6,"")</f>
        <v/>
      </c>
      <c r="J6" s="5">
        <f>IF(H6&lt;&gt;"",I6/H6,"")</f>
        <v/>
      </c>
    </row>
    <row r="7">
      <c r="A7" t="n">
        <v>6</v>
      </c>
      <c r="B7" t="inlineStr">
        <is>
          <t>2003-04 Upper Deck Top Prospects Signs of Success #SS-LJ LeBron James Signed Rookie Card - BGS MINT 9, Beckett 10</t>
        </is>
      </c>
      <c r="C7" t="inlineStr">
        <is>
          <t>2026 April Elite Auction</t>
        </is>
      </c>
      <c r="D7" s="2" t="n">
        <v>2650</v>
      </c>
      <c r="E7" s="2" t="n">
        <v>2497.95</v>
      </c>
      <c r="F7" t="inlineStr"/>
      <c r="G7" s="2" t="n">
        <v>0</v>
      </c>
      <c r="H7" s="4" t="n"/>
      <c r="I7" s="2">
        <f>IF(H7&lt;&gt;"",E7-H7,"")</f>
        <v/>
      </c>
      <c r="J7" s="5">
        <f>IF(H7&lt;&gt;"",I7/H7,"")</f>
        <v/>
      </c>
    </row>
    <row r="8">
      <c r="A8" t="n">
        <v>7</v>
      </c>
      <c r="B8" t="inlineStr">
        <is>
          <t>2025 Panini Impeccable WNBA Basketball Factory-Sealed Hobby Case (3 Boxes) - Possible Paige Bueckers, Hailey Van Lith, Kiki Iriafen Rookie Cards</t>
        </is>
      </c>
      <c r="C8" t="inlineStr">
        <is>
          <t>2026 Weekly Auction Mar 3 - Mar 12</t>
        </is>
      </c>
      <c r="D8" s="2" t="n">
        <v>2501</v>
      </c>
      <c r="E8" s="2" t="n">
        <v>2357.5</v>
      </c>
      <c r="F8" t="inlineStr"/>
      <c r="G8" s="2" t="n">
        <v>0</v>
      </c>
      <c r="H8" s="4" t="n"/>
      <c r="I8" s="2">
        <f>IF(H8&lt;&gt;"",E8-H8,"")</f>
        <v/>
      </c>
      <c r="J8" s="5">
        <f>IF(H8&lt;&gt;"",I8/H8,"")</f>
        <v/>
      </c>
    </row>
    <row r="9">
      <c r="A9" t="n">
        <v>8</v>
      </c>
      <c r="B9" t="inlineStr">
        <is>
          <t>2023-24 Bowman U Best of 2023 Autograph Geometric Red Refractor #B23-CC Caitlin Clark Signed Rookie Card (#01/10) - PSA MINT 9, PSA/DNA GEM MT 10</t>
        </is>
      </c>
      <c r="C9" t="inlineStr">
        <is>
          <t>2026 Weekly Auction Mar 24 - Apr 2</t>
        </is>
      </c>
      <c r="D9" s="2" t="n">
        <v>2300</v>
      </c>
      <c r="E9" s="2" t="n">
        <v>2168.03</v>
      </c>
      <c r="F9" t="inlineStr"/>
      <c r="G9" s="2" t="n">
        <v>0</v>
      </c>
      <c r="H9" s="4" t="n"/>
      <c r="I9" s="2">
        <f>IF(H9&lt;&gt;"",E9-H9,"")</f>
        <v/>
      </c>
      <c r="J9" s="5">
        <f>IF(H9&lt;&gt;"",I9/H9,"")</f>
        <v/>
      </c>
    </row>
    <row r="10">
      <c r="A10" t="n">
        <v>9</v>
      </c>
      <c r="B10" t="inlineStr">
        <is>
          <t>2020-21 Panini Flawless Draft Gem Signatures Ruby #DG-AEW Anthony Edwards Signed Rookie Card (#15/15) - Panini Encased</t>
        </is>
      </c>
      <c r="C10" t="inlineStr">
        <is>
          <t>2026 Weekly Auction Mar 24 - Apr 2</t>
        </is>
      </c>
      <c r="D10" s="2" t="n">
        <v>2262</v>
      </c>
      <c r="E10" s="2" t="n">
        <v>2132.21</v>
      </c>
      <c r="F10" t="inlineStr"/>
      <c r="G10" s="2" t="n">
        <v>0</v>
      </c>
      <c r="H10" s="4" t="n"/>
      <c r="I10" s="2">
        <f>IF(H10&lt;&gt;"",E10-H10,"")</f>
        <v/>
      </c>
      <c r="J10" s="5">
        <f>IF(H10&lt;&gt;"",I10/H10,"")</f>
        <v/>
      </c>
    </row>
    <row r="11">
      <c r="A11" t="n">
        <v>10</v>
      </c>
      <c r="B11" t="inlineStr">
        <is>
          <t>2022-23 Bowman U Best of '22 Autographs #BOA-VW Victor Wembanyama Signed Rookie Card - PSA GEM MT 10</t>
        </is>
      </c>
      <c r="C11" t="inlineStr">
        <is>
          <t>2026 Weekly Auction Mar 24 - Apr 2</t>
        </is>
      </c>
      <c r="D11" s="2" t="n">
        <v>2150</v>
      </c>
      <c r="E11" s="2" t="n">
        <v>2026.64</v>
      </c>
      <c r="F11" t="inlineStr"/>
      <c r="G11" s="2" t="n">
        <v>0</v>
      </c>
      <c r="H11" s="4" t="n"/>
      <c r="I11" s="2">
        <f>IF(H11&lt;&gt;"",E11-H11,"")</f>
        <v/>
      </c>
      <c r="J11" s="5">
        <f>IF(H11&lt;&gt;"",I11/H11,"")</f>
        <v/>
      </c>
    </row>
    <row r="12">
      <c r="A12" t="n">
        <v>11</v>
      </c>
      <c r="B12" t="inlineStr">
        <is>
          <t>2025-26 Topps Chrome Next Stop Signatures Purple Geometric Refractor #NS-CF Cooper Flagg Signed Rookie Card (#68/75) - PSA MINT 9</t>
        </is>
      </c>
      <c r="C12" t="inlineStr">
        <is>
          <t>2026 April Elite Auction</t>
        </is>
      </c>
      <c r="D12" s="2" t="n">
        <v>2066</v>
      </c>
      <c r="E12" s="2" t="n">
        <v>1947.46</v>
      </c>
      <c r="F12" t="inlineStr"/>
      <c r="G12" s="2" t="n">
        <v>0</v>
      </c>
      <c r="H12" s="4" t="n"/>
      <c r="I12" s="2">
        <f>IF(H12&lt;&gt;"",E12-H12,"")</f>
        <v/>
      </c>
      <c r="J12" s="5">
        <f>IF(H12&lt;&gt;"",I12/H12,"")</f>
        <v/>
      </c>
    </row>
    <row r="13">
      <c r="A13" t="n">
        <v>12</v>
      </c>
      <c r="B13" t="inlineStr">
        <is>
          <t>2023 Bowman Draft Picks &amp; Prospects Autographs Red #DPPA-PS Paul Skenes Signed Rookie Card (#2/5) - PSA MINT 9</t>
        </is>
      </c>
      <c r="C13" t="inlineStr">
        <is>
          <t>2026 April Elite Auction</t>
        </is>
      </c>
      <c r="D13" s="2" t="n">
        <v>2000</v>
      </c>
      <c r="E13" s="2" t="n">
        <v>1885.25</v>
      </c>
      <c r="F13" t="inlineStr"/>
      <c r="G13" s="2" t="n">
        <v>0</v>
      </c>
      <c r="H13" s="4" t="n"/>
      <c r="I13" s="2">
        <f>IF(H13&lt;&gt;"",E13-H13,"")</f>
        <v/>
      </c>
      <c r="J13" s="5">
        <f>IF(H13&lt;&gt;"",I13/H13,"")</f>
        <v/>
      </c>
    </row>
    <row r="14">
      <c r="A14" t="n">
        <v>13</v>
      </c>
      <c r="B14" t="inlineStr">
        <is>
          <t>2020-21 Panini One and One Rookie Jersey Autographs Blue #RJA-AED Anthony Edwards Signed Patch Rookie Card (#26/35) - PSA Authentic, PSA/DNA GEM MT 10</t>
        </is>
      </c>
      <c r="C14" t="inlineStr">
        <is>
          <t>2026 Weekly Auction Mar 24 - Apr 2</t>
        </is>
      </c>
      <c r="D14" s="2" t="n">
        <v>1850</v>
      </c>
      <c r="E14" s="2" t="n">
        <v>1743.85</v>
      </c>
      <c r="F14" t="inlineStr"/>
      <c r="G14" s="2" t="n">
        <v>0</v>
      </c>
      <c r="H14" s="4" t="n"/>
      <c r="I14" s="2">
        <f>IF(H14&lt;&gt;"",E14-H14,"")</f>
        <v/>
      </c>
      <c r="J14" s="5">
        <f>IF(H14&lt;&gt;"",I14/H14,"")</f>
        <v/>
      </c>
    </row>
    <row r="15">
      <c r="A15" t="n">
        <v>14</v>
      </c>
      <c r="B15" t="inlineStr">
        <is>
          <t>2019-20 Panini Flawless Premium Ink #PI-SCY Stephen Curry Signed Card (#01/25) - PSA MINT 9, PSA/DNA GEM MT 10 - Pop 1</t>
        </is>
      </c>
      <c r="C15" t="inlineStr">
        <is>
          <t>2026 March Elite Auction</t>
        </is>
      </c>
      <c r="D15" s="2" t="n">
        <v>1800</v>
      </c>
      <c r="E15" s="2" t="n">
        <v>1696.72</v>
      </c>
      <c r="F15" t="inlineStr"/>
      <c r="G15" s="2" t="n">
        <v>0</v>
      </c>
      <c r="H15" s="4" t="n"/>
      <c r="I15" s="2">
        <f>IF(H15&lt;&gt;"",E15-H15,"")</f>
        <v/>
      </c>
      <c r="J15" s="5">
        <f>IF(H15&lt;&gt;"",I15/H15,"")</f>
        <v/>
      </c>
    </row>
    <row r="16">
      <c r="A16" t="n">
        <v>15</v>
      </c>
      <c r="B16" t="inlineStr">
        <is>
          <t>2015-16 Panini National Treasures Clutch Factor Jersey Autograph #CF-SCR Stephen Curry Signed Relic Card (#14/25) - PSA MINT 9 - Pop 4</t>
        </is>
      </c>
      <c r="C16" t="inlineStr">
        <is>
          <t>2026 Weekly Auction Mar 24 - Apr 2</t>
        </is>
      </c>
      <c r="D16" s="2" t="n">
        <v>1800</v>
      </c>
      <c r="E16" s="2" t="n">
        <v>1696.72</v>
      </c>
      <c r="F16" t="inlineStr"/>
      <c r="G16" s="2" t="n">
        <v>0</v>
      </c>
      <c r="H16" s="4" t="n"/>
      <c r="I16" s="2">
        <f>IF(H16&lt;&gt;"",E16-H16,"")</f>
        <v/>
      </c>
      <c r="J16" s="5">
        <f>IF(H16&lt;&gt;"",I16/H16,"")</f>
        <v/>
      </c>
    </row>
    <row r="17">
      <c r="A17" t="n">
        <v>16</v>
      </c>
      <c r="B17" t="inlineStr">
        <is>
          <t>2025 Topps Five Star Golden Graphs Blue #GG-YY Yoshinobu Yamamoto Signed Card (#19/20) - Topps Encased</t>
        </is>
      </c>
      <c r="C17" t="inlineStr">
        <is>
          <t>2026 Weekly Auction Apr 7 - Apr 16</t>
        </is>
      </c>
      <c r="D17" s="2" t="n">
        <v>1610</v>
      </c>
      <c r="E17" s="2" t="n">
        <v>1517.62</v>
      </c>
      <c r="F17" t="inlineStr"/>
      <c r="G17" s="2" t="n">
        <v>0</v>
      </c>
      <c r="H17" s="4" t="n"/>
      <c r="I17" s="2">
        <f>IF(H17&lt;&gt;"",E17-H17,"")</f>
        <v/>
      </c>
      <c r="J17" s="5">
        <f>IF(H17&lt;&gt;"",I17/H17,"")</f>
        <v/>
      </c>
    </row>
    <row r="18">
      <c r="A18" t="n">
        <v>17</v>
      </c>
      <c r="B18" t="inlineStr">
        <is>
          <t>2008 Upper Deck SP Rookie Threads SP Dual Threads #TD-BJ Kobe Bryant/Michael Jordan Relic Card - BGS NM-MT+ 8.5</t>
        </is>
      </c>
      <c r="C18" t="inlineStr">
        <is>
          <t>2026 Weekly Auction Mar 24 - Apr 2</t>
        </is>
      </c>
      <c r="D18" s="2" t="n">
        <v>1601</v>
      </c>
      <c r="E18" s="2" t="n">
        <v>1509.14</v>
      </c>
      <c r="F18" t="inlineStr"/>
      <c r="G18" s="2" t="n">
        <v>0</v>
      </c>
      <c r="H18" s="4" t="n"/>
      <c r="I18" s="2">
        <f>IF(H18&lt;&gt;"",E18-H18,"")</f>
        <v/>
      </c>
      <c r="J18" s="5">
        <f>IF(H18&lt;&gt;"",I18/H18,"")</f>
        <v/>
      </c>
    </row>
    <row r="19">
      <c r="A19" t="n">
        <v>18</v>
      </c>
      <c r="B19" t="inlineStr">
        <is>
          <t>2024-25 Panini Flawless All-Star Ink Gold #ANB-LUD Luka Doncic Signed Card (#04/10) - Panini Encased</t>
        </is>
      </c>
      <c r="C19" t="inlineStr">
        <is>
          <t>2026 April Elite Auction</t>
        </is>
      </c>
      <c r="D19" s="2" t="n">
        <v>1600</v>
      </c>
      <c r="E19" s="2" t="n">
        <v>1508.2</v>
      </c>
      <c r="F19" t="inlineStr"/>
      <c r="G19" s="2" t="n">
        <v>0</v>
      </c>
      <c r="H19" s="4" t="n"/>
      <c r="I19" s="2">
        <f>IF(H19&lt;&gt;"",E19-H19,"")</f>
        <v/>
      </c>
      <c r="J19" s="5">
        <f>IF(H19&lt;&gt;"",I19/H19,"")</f>
        <v/>
      </c>
    </row>
    <row r="20">
      <c r="A20" t="n">
        <v>19</v>
      </c>
      <c r="B20" t="inlineStr">
        <is>
          <t>2023-24 Topps Now Autographs #VW-6A Victor Wembanyama Signed Rookie Card (#47/99) - PSA MINT 9</t>
        </is>
      </c>
      <c r="C20" t="inlineStr">
        <is>
          <t>2026 March Elite Auction</t>
        </is>
      </c>
      <c r="D20" s="2" t="n">
        <v>1450</v>
      </c>
      <c r="E20" s="2" t="n">
        <v>1366.8</v>
      </c>
      <c r="F20" t="inlineStr"/>
      <c r="G20" s="2" t="n">
        <v>0</v>
      </c>
      <c r="H20" s="4" t="n"/>
      <c r="I20" s="2">
        <f>IF(H20&lt;&gt;"",E20-H20,"")</f>
        <v/>
      </c>
      <c r="J20" s="5">
        <f>IF(H20&lt;&gt;"",I20/H20,"")</f>
        <v/>
      </c>
    </row>
    <row r="21">
      <c r="A21" t="n">
        <v>20</v>
      </c>
      <c r="B21" t="inlineStr">
        <is>
          <t>2019 Topps Diamond Icons Autographs Gold #DIA-MT Mike Trout Signed Card (#1/1) - BGS GEM MINT 9.5, Beckett 10 - True Gem</t>
        </is>
      </c>
      <c r="C21" t="inlineStr">
        <is>
          <t>2026 April Elite Auction</t>
        </is>
      </c>
      <c r="D21" s="2" t="n">
        <v>1400</v>
      </c>
      <c r="E21" s="2" t="n">
        <v>1319.67</v>
      </c>
      <c r="F21" t="inlineStr"/>
      <c r="G21" s="2" t="n">
        <v>0</v>
      </c>
      <c r="H21" s="4" t="n"/>
      <c r="I21" s="2">
        <f>IF(H21&lt;&gt;"",E21-H21,"")</f>
        <v/>
      </c>
      <c r="J21" s="5">
        <f>IF(H21&lt;&gt;"",I21/H21,"")</f>
        <v/>
      </c>
    </row>
    <row r="22">
      <c r="A22" t="n">
        <v>21</v>
      </c>
      <c r="B22" t="inlineStr">
        <is>
          <t>2023-24 Panini Contenders Optic 1986 Tribute Autographs International Jade #86-LKD Luka Doncic Signed Card (#3/5) - Panini Encased</t>
        </is>
      </c>
      <c r="C22" t="inlineStr">
        <is>
          <t>2026 April Elite Auction</t>
        </is>
      </c>
      <c r="D22" s="2" t="n">
        <v>1299</v>
      </c>
      <c r="E22" s="2" t="n">
        <v>1224.47</v>
      </c>
      <c r="F22" t="inlineStr"/>
      <c r="G22" s="2" t="n">
        <v>0</v>
      </c>
      <c r="H22" s="4" t="n"/>
      <c r="I22" s="2">
        <f>IF(H22&lt;&gt;"",E22-H22,"")</f>
        <v/>
      </c>
      <c r="J22" s="5">
        <f>IF(H22&lt;&gt;"",I22/H22,"")</f>
        <v/>
      </c>
    </row>
    <row r="23">
      <c r="A23" t="n">
        <v>22</v>
      </c>
      <c r="B23" t="inlineStr">
        <is>
          <t>2020-21 Panini National Treasures Treasured Signatures Bronze #TS-LUD Luka Doncic Signed Card (#25/25) - PSA MINT 9</t>
        </is>
      </c>
      <c r="C23" t="inlineStr">
        <is>
          <t>2026 Weekly Auction Mar 24 - Apr 2</t>
        </is>
      </c>
      <c r="D23" s="2" t="n">
        <v>1273</v>
      </c>
      <c r="E23" s="2" t="n">
        <v>1199.96</v>
      </c>
      <c r="F23" t="inlineStr"/>
      <c r="G23" s="2" t="n">
        <v>0</v>
      </c>
      <c r="H23" s="4" t="n"/>
      <c r="I23" s="2">
        <f>IF(H23&lt;&gt;"",E23-H23,"")</f>
        <v/>
      </c>
      <c r="J23" s="5">
        <f>IF(H23&lt;&gt;"",I23/H23,"")</f>
        <v/>
      </c>
    </row>
    <row r="24">
      <c r="A24" t="n">
        <v>23</v>
      </c>
      <c r="B24" t="inlineStr">
        <is>
          <t>2024-25 Bowman Chrome U Final Exam Autograph #FEA-CF Cooper Flagg Signed Rookie Card - PSA GEM MT 10</t>
        </is>
      </c>
      <c r="C24" t="inlineStr">
        <is>
          <t>2026 Weekly Auction Mar 24 - Apr 2</t>
        </is>
      </c>
      <c r="D24" s="2" t="n">
        <v>1260</v>
      </c>
      <c r="E24" s="2" t="n">
        <v>1187.7</v>
      </c>
      <c r="F24" t="inlineStr"/>
      <c r="G24" s="2" t="n">
        <v>0</v>
      </c>
      <c r="H24" s="4" t="n"/>
      <c r="I24" s="2">
        <f>IF(H24&lt;&gt;"",E24-H24,"")</f>
        <v/>
      </c>
      <c r="J24" s="5">
        <f>IF(H24&lt;&gt;"",I24/H24,"")</f>
        <v/>
      </c>
    </row>
    <row r="25">
      <c r="A25" t="n">
        <v>24</v>
      </c>
      <c r="B25" t="inlineStr">
        <is>
          <t>2022-23 Panini Immaculate Collection Scorers Club Signatures #SCS-LUD Luka Doncic Signed Card (#23/25) - PSA MINT 9</t>
        </is>
      </c>
      <c r="C25" t="inlineStr">
        <is>
          <t>2026 Weekly Auction Mar 24 - Apr 2</t>
        </is>
      </c>
      <c r="D25" s="2" t="n">
        <v>1211</v>
      </c>
      <c r="E25" s="2" t="n">
        <v>1141.52</v>
      </c>
      <c r="F25" t="inlineStr"/>
      <c r="G25" s="2" t="n">
        <v>0</v>
      </c>
      <c r="H25" s="4" t="n"/>
      <c r="I25" s="2">
        <f>IF(H25&lt;&gt;"",E25-H25,"")</f>
        <v/>
      </c>
      <c r="J25" s="5">
        <f>IF(H25&lt;&gt;"",I25/H25,"")</f>
        <v/>
      </c>
    </row>
    <row r="26">
      <c r="A26" t="n">
        <v>25</v>
      </c>
      <c r="B26" t="inlineStr">
        <is>
          <t>2014-15 Panini Flawless Association Autographs Emerald #AA-GA Giannis Antetokounmpo Signed Card (#1/5) - PSA NM 7</t>
        </is>
      </c>
      <c r="C26" t="inlineStr">
        <is>
          <t>2026 Weekly Auction May 19 - May 28</t>
        </is>
      </c>
      <c r="D26" s="2" t="n">
        <v>1001</v>
      </c>
      <c r="E26" s="2" t="n">
        <v>943.5700000000001</v>
      </c>
      <c r="F26" t="inlineStr"/>
      <c r="G26" s="2" t="n">
        <v>0</v>
      </c>
      <c r="H26" s="4" t="n"/>
      <c r="I26" s="2">
        <f>IF(H26&lt;&gt;"",E26-H26,"")</f>
        <v/>
      </c>
      <c r="J26" s="5">
        <f>IF(H26&lt;&gt;"",I26/H26,"")</f>
        <v/>
      </c>
    </row>
    <row r="27">
      <c r="A27" t="n">
        <v>26</v>
      </c>
      <c r="B27" t="inlineStr">
        <is>
          <t>2023-24 Topps Finest Masters Autograph Red/Black Vapor Geometric Refractor #MA-SC Stephen Curry Signed Card (#01/10) - Topps Sealed</t>
        </is>
      </c>
      <c r="C27" t="inlineStr">
        <is>
          <t>2026 April Elite Auction</t>
        </is>
      </c>
      <c r="D27" s="2" t="n">
        <v>1000</v>
      </c>
      <c r="E27" s="2" t="n">
        <v>942.62</v>
      </c>
      <c r="F27" t="inlineStr"/>
      <c r="G27" s="2" t="n">
        <v>0</v>
      </c>
      <c r="H27" s="4" t="n"/>
      <c r="I27" s="2">
        <f>IF(H27&lt;&gt;"",E27-H27,"")</f>
        <v/>
      </c>
      <c r="J27" s="5">
        <f>IF(H27&lt;&gt;"",I27/H27,"")</f>
        <v/>
      </c>
    </row>
    <row r="28">
      <c r="A28" t="n">
        <v>27</v>
      </c>
      <c r="B28" t="inlineStr">
        <is>
          <t>2022-23 Panini Noir Autographed Prime Black and White #ANB-LUD Luka Doncic Signed Card (#17/25) - Panini Encased</t>
        </is>
      </c>
      <c r="C28" t="inlineStr">
        <is>
          <t>2026 April Elite Auction</t>
        </is>
      </c>
      <c r="D28" s="2" t="n">
        <v>1000</v>
      </c>
      <c r="E28" s="2" t="n">
        <v>942.62</v>
      </c>
      <c r="F28" t="inlineStr"/>
      <c r="G28" s="2" t="n">
        <v>0</v>
      </c>
      <c r="H28" s="4" t="n"/>
      <c r="I28" s="2">
        <f>IF(H28&lt;&gt;"",E28-H28,"")</f>
        <v/>
      </c>
      <c r="J28" s="5">
        <f>IF(H28&lt;&gt;"",I28/H28,"")</f>
        <v/>
      </c>
    </row>
    <row r="29">
      <c r="A29" t="n">
        <v>28</v>
      </c>
      <c r="B29" t="inlineStr">
        <is>
          <t>2024-25 Bowman's Best University Prospect Jumbo Relic Autographs Gold Geometric Refractor #PJRA-CF Cooper Flagg Signed Relic Rookie Card (#38/50) - BGS NM-MT+ 8.5, Beckett 10</t>
        </is>
      </c>
      <c r="C29" t="inlineStr">
        <is>
          <t>2026 Weekly Auction Mar 24 - Apr 2</t>
        </is>
      </c>
      <c r="D29" s="2" t="n">
        <v>1000</v>
      </c>
      <c r="E29" s="2" t="n">
        <v>942.62</v>
      </c>
      <c r="F29" t="inlineStr"/>
      <c r="G29" s="2" t="n">
        <v>0</v>
      </c>
      <c r="H29" s="4" t="n"/>
      <c r="I29" s="2">
        <f>IF(H29&lt;&gt;"",E29-H29,"")</f>
        <v/>
      </c>
      <c r="J29" s="5">
        <f>IF(H29&lt;&gt;"",I29/H29,"")</f>
        <v/>
      </c>
    </row>
    <row r="30">
      <c r="A30" t="n">
        <v>29</v>
      </c>
      <c r="B30" t="inlineStr">
        <is>
          <t>2020-21 Panini National Treasures Rookie Private Signings Association #PSA-AED Anthony Edwards Signed Rookie Card - PSA MINT 9 - Pop 4</t>
        </is>
      </c>
      <c r="C30" t="inlineStr">
        <is>
          <t>2026 Weekly Auction Mar 24 - Apr 2</t>
        </is>
      </c>
      <c r="D30" s="2" t="n">
        <v>1000</v>
      </c>
      <c r="E30" s="2" t="n">
        <v>942.62</v>
      </c>
      <c r="F30" t="inlineStr"/>
      <c r="G30" s="2" t="n">
        <v>0</v>
      </c>
      <c r="H30" s="4" t="n"/>
      <c r="I30" s="2">
        <f>IF(H30&lt;&gt;"",E30-H30,"")</f>
        <v/>
      </c>
      <c r="J30" s="5">
        <f>IF(H30&lt;&gt;"",I30/H30,"")</f>
        <v/>
      </c>
    </row>
    <row r="31">
      <c r="A31" t="n">
        <v>30</v>
      </c>
      <c r="B31" t="inlineStr">
        <is>
          <t>2019-20 Panini One and One First-Team Signatures #FT-SCY Stephen Curry Signed Card (#08/25) - BGS MINT 9, Beckett 10 - Pop 3</t>
        </is>
      </c>
      <c r="C31" t="inlineStr">
        <is>
          <t>2026 Weekly Auction Mar 24 - Apr 2</t>
        </is>
      </c>
      <c r="D31" s="2" t="n">
        <v>976</v>
      </c>
      <c r="E31" s="2" t="n">
        <v>920</v>
      </c>
      <c r="F31" t="inlineStr"/>
      <c r="G31" s="2" t="n">
        <v>0</v>
      </c>
      <c r="H31" s="4" t="n"/>
      <c r="I31" s="2">
        <f>IF(H31&lt;&gt;"",E31-H31,"")</f>
        <v/>
      </c>
      <c r="J31" s="5">
        <f>IF(H31&lt;&gt;"",I31/H31,"")</f>
        <v/>
      </c>
    </row>
    <row r="32">
      <c r="A32" t="n">
        <v>31</v>
      </c>
      <c r="B32" t="inlineStr">
        <is>
          <t>2024-25 Topps Regalia Relic Signatures #RRS-SC Stephen Curry Signed Game-Used Patch Card (#03/15) - Topps Encased</t>
        </is>
      </c>
      <c r="C32" t="inlineStr">
        <is>
          <t>2026 Weekly Auction Mar 24 - Apr 2</t>
        </is>
      </c>
      <c r="D32" s="2" t="n">
        <v>960</v>
      </c>
      <c r="E32" s="2" t="n">
        <v>904.92</v>
      </c>
      <c r="F32" t="inlineStr"/>
      <c r="G32" s="2" t="n">
        <v>0</v>
      </c>
      <c r="H32" s="4" t="n"/>
      <c r="I32" s="2">
        <f>IF(H32&lt;&gt;"",E32-H32,"")</f>
        <v/>
      </c>
      <c r="J32" s="5">
        <f>IF(H32&lt;&gt;"",I32/H32,"")</f>
        <v/>
      </c>
    </row>
    <row r="33">
      <c r="A33" t="n">
        <v>32</v>
      </c>
      <c r="B33" t="inlineStr">
        <is>
          <t>2020-21 Panini One and One Rookie Dual Jersey Autograph #RDJ-AED Anthony Edwards Signed Relic Rookie Card (#90/99) - PSA MINT 9, PSA/DNA GEM MT 10</t>
        </is>
      </c>
      <c r="C33" t="inlineStr">
        <is>
          <t>2026 Weekly Auction Mar 24 - Apr 2</t>
        </is>
      </c>
      <c r="D33" s="2" t="n">
        <v>950</v>
      </c>
      <c r="E33" s="2" t="n">
        <v>895.49</v>
      </c>
      <c r="F33" t="inlineStr"/>
      <c r="G33" s="2" t="n">
        <v>0</v>
      </c>
      <c r="H33" s="4" t="n"/>
      <c r="I33" s="2">
        <f>IF(H33&lt;&gt;"",E33-H33,"")</f>
        <v/>
      </c>
      <c r="J33" s="5">
        <f>IF(H33&lt;&gt;"",I33/H33,"")</f>
        <v/>
      </c>
    </row>
    <row r="34">
      <c r="A34" t="n">
        <v>33</v>
      </c>
      <c r="B34" t="inlineStr">
        <is>
          <t>2020-21 Panini Contenders Optic Veteran Seasons Ticket Autograph Orange #VT-JTA Jayson Tatum Signed Card (#06/15) - PSA GEM MT 10, PSA/DNA GEM MT 10</t>
        </is>
      </c>
      <c r="C34" t="inlineStr">
        <is>
          <t>2026 Weekly Auction Mar 24 - Apr 2</t>
        </is>
      </c>
      <c r="D34" s="2" t="n">
        <v>760</v>
      </c>
      <c r="E34" s="2" t="n">
        <v>716.39</v>
      </c>
      <c r="F34" t="inlineStr"/>
      <c r="G34" s="2" t="n">
        <v>0</v>
      </c>
      <c r="H34" s="4" t="n"/>
      <c r="I34" s="2">
        <f>IF(H34&lt;&gt;"",E34-H34,"")</f>
        <v/>
      </c>
      <c r="J34" s="5">
        <f>IF(H34&lt;&gt;"",I34/H34,"")</f>
        <v/>
      </c>
    </row>
    <row r="35">
      <c r="A35" t="n">
        <v>34</v>
      </c>
      <c r="B35" t="inlineStr">
        <is>
          <t>2022-23 Panini One And One Precision Rookie Jersey Autographs Ruby '25 Black Box #PRJ-PB5 Paolo Banchero Signed Patch Rookie Card (#1/1) - Panini Encased</t>
        </is>
      </c>
      <c r="C35" t="inlineStr">
        <is>
          <t>2026 March Elite Auction</t>
        </is>
      </c>
      <c r="D35" s="2" t="n">
        <v>755</v>
      </c>
      <c r="E35" s="2" t="n">
        <v>711.6799999999999</v>
      </c>
      <c r="F35" t="inlineStr"/>
      <c r="G35" s="2" t="n">
        <v>0</v>
      </c>
      <c r="H35" s="4" t="n"/>
      <c r="I35" s="2">
        <f>IF(H35&lt;&gt;"",E35-H35,"")</f>
        <v/>
      </c>
      <c r="J35" s="5">
        <f>IF(H35&lt;&gt;"",I35/H35,"")</f>
        <v/>
      </c>
    </row>
    <row r="36">
      <c r="A36" t="n">
        <v>35</v>
      </c>
      <c r="B36" t="inlineStr">
        <is>
          <t>2021-22 Panini Donruss Optic Fast Break Signatures Gold #FB-AEW Anthony Edwards Signed Card (#04/10) - PSA MINT 9 - Pop 3</t>
        </is>
      </c>
      <c r="C36" t="inlineStr">
        <is>
          <t>2026 Weekly Auction Mar 24 - Apr 2</t>
        </is>
      </c>
      <c r="D36" s="2" t="n">
        <v>755</v>
      </c>
      <c r="E36" s="2" t="n">
        <v>711.6799999999999</v>
      </c>
      <c r="F36" t="inlineStr"/>
      <c r="G36" s="2" t="n">
        <v>0</v>
      </c>
      <c r="H36" s="4" t="n"/>
      <c r="I36" s="2">
        <f>IF(H36&lt;&gt;"",E36-H36,"")</f>
        <v/>
      </c>
      <c r="J36" s="5">
        <f>IF(H36&lt;&gt;"",I36/H36,"")</f>
        <v/>
      </c>
    </row>
    <row r="37">
      <c r="A37" t="n">
        <v>36</v>
      </c>
      <c r="B37" t="inlineStr">
        <is>
          <t>2022 Leaf Decadence Octet Autographs #O-03 Curry/Iverson/Johnson/Lillard/West/Frazier/Dantley/Erving Multi-Signed Card (#1/4) - Leaf Encased</t>
        </is>
      </c>
      <c r="C37" t="inlineStr">
        <is>
          <t>2026 Weekly Auction Mar 10 - Mar 19</t>
        </is>
      </c>
      <c r="D37" s="2" t="n">
        <v>750</v>
      </c>
      <c r="E37" s="2" t="n">
        <v>706.97</v>
      </c>
      <c r="F37" t="inlineStr"/>
      <c r="G37" s="2" t="n">
        <v>0</v>
      </c>
      <c r="H37" s="4" t="n"/>
      <c r="I37" s="2">
        <f>IF(H37&lt;&gt;"",E37-H37,"")</f>
        <v/>
      </c>
      <c r="J37" s="5">
        <f>IF(H37&lt;&gt;"",I37/H37,"")</f>
        <v/>
      </c>
    </row>
    <row r="38">
      <c r="A38" t="n">
        <v>37</v>
      </c>
      <c r="B38" t="inlineStr">
        <is>
          <t>2024-25 Panini One and One Logoman #LM-CDY Cody Williams Logoman Patch Rookie Card (#2/5) - Panini Encased</t>
        </is>
      </c>
      <c r="C38" t="inlineStr">
        <is>
          <t>2026 April Elite Auction</t>
        </is>
      </c>
      <c r="D38" s="2" t="n">
        <v>725</v>
      </c>
      <c r="E38" s="2" t="n">
        <v>683.4</v>
      </c>
      <c r="F38" t="inlineStr"/>
      <c r="G38" s="2" t="n">
        <v>0</v>
      </c>
      <c r="H38" s="4" t="n"/>
      <c r="I38" s="2">
        <f>IF(H38&lt;&gt;"",E38-H38,"")</f>
        <v/>
      </c>
      <c r="J38" s="5">
        <f>IF(H38&lt;&gt;"",I38/H38,"")</f>
        <v/>
      </c>
    </row>
    <row r="39">
      <c r="A39" t="n">
        <v>38</v>
      </c>
      <c r="B39" t="inlineStr">
        <is>
          <t>2023-24 Bowman Chrome U 2007-08 Bowman Gold #07B-22 Caitlin Clark Rookie Card (#32/50) - PSA GEM MT 10</t>
        </is>
      </c>
      <c r="C39" t="inlineStr">
        <is>
          <t>2026 Weekly Auction Mar 24 - Apr 2</t>
        </is>
      </c>
      <c r="D39" s="2" t="n">
        <v>721</v>
      </c>
      <c r="E39" s="2" t="n">
        <v>679.63</v>
      </c>
      <c r="F39" t="inlineStr"/>
      <c r="G39" s="2" t="n">
        <v>0</v>
      </c>
      <c r="H39" s="4" t="n"/>
      <c r="I39" s="2">
        <f>IF(H39&lt;&gt;"",E39-H39,"")</f>
        <v/>
      </c>
      <c r="J39" s="5">
        <f>IF(H39&lt;&gt;"",I39/H39,"")</f>
        <v/>
      </c>
    </row>
    <row r="40">
      <c r="A40" t="n">
        <v>39</v>
      </c>
      <c r="B40" t="inlineStr">
        <is>
          <t>2017-18 Panini Flawless Momentous Autographs Gold #MA-GA Giannis Antetokounmpo Signed Card (#04/10) - Panini Encased</t>
        </is>
      </c>
      <c r="C40" t="inlineStr">
        <is>
          <t>2026 Weekly Auction Apr 21 - Apr 30</t>
        </is>
      </c>
      <c r="D40" s="2" t="n">
        <v>675</v>
      </c>
      <c r="E40" s="2" t="n">
        <v>636.27</v>
      </c>
      <c r="F40" t="inlineStr"/>
      <c r="G40" s="2" t="n">
        <v>0</v>
      </c>
      <c r="H40" s="4" t="n"/>
      <c r="I40" s="2">
        <f>IF(H40&lt;&gt;"",E40-H40,"")</f>
        <v/>
      </c>
      <c r="J40" s="5">
        <f>IF(H40&lt;&gt;"",I40/H40,"")</f>
        <v/>
      </c>
    </row>
    <row r="41">
      <c r="A41" t="n">
        <v>40</v>
      </c>
      <c r="B41" t="inlineStr">
        <is>
          <t>2017-18 Panini Flawless Premium Ink Signatures #PI-GA Giannis Antetokounmpo Signed Card (#12/25) - BGS GEM MINT 9.5, Beckett 10</t>
        </is>
      </c>
      <c r="C41" t="inlineStr">
        <is>
          <t>2026 Weekly Auction Mar 24 - Apr 2</t>
        </is>
      </c>
      <c r="D41" s="2" t="n">
        <v>675</v>
      </c>
      <c r="E41" s="2" t="n">
        <v>636.27</v>
      </c>
      <c r="F41" t="inlineStr"/>
      <c r="G41" s="2" t="n">
        <v>0</v>
      </c>
      <c r="H41" s="4" t="n"/>
      <c r="I41" s="2">
        <f>IF(H41&lt;&gt;"",E41-H41,"")</f>
        <v/>
      </c>
      <c r="J41" s="5">
        <f>IF(H41&lt;&gt;"",I41/H41,"")</f>
        <v/>
      </c>
    </row>
    <row r="42">
      <c r="A42" t="n">
        <v>41</v>
      </c>
      <c r="B42" t="inlineStr">
        <is>
          <t>2022-23 Panini Flawless Excellence Signatures '25 Black Box #ES-CHG Chet Holmgren Signed Rookie Card (#1/1) - Panini Encased</t>
        </is>
      </c>
      <c r="C42" t="inlineStr">
        <is>
          <t>2026 Weekly Auction Mar 24 - Apr 2</t>
        </is>
      </c>
      <c r="D42" s="2" t="n">
        <v>675</v>
      </c>
      <c r="E42" s="2" t="n">
        <v>636.27</v>
      </c>
      <c r="F42" t="inlineStr"/>
      <c r="G42" s="2" t="n">
        <v>0</v>
      </c>
      <c r="H42" s="4" t="n"/>
      <c r="I42" s="2">
        <f>IF(H42&lt;&gt;"",E42-H42,"")</f>
        <v/>
      </c>
      <c r="J42" s="5">
        <f>IF(H42&lt;&gt;"",I42/H42,"")</f>
        <v/>
      </c>
    </row>
    <row r="43">
      <c r="A43" t="n">
        <v>42</v>
      </c>
      <c r="B43" t="inlineStr">
        <is>
          <t>2025-26 Topps All Kings #AK-4 Giannis Antetokounmpo - PSA MINT 9</t>
        </is>
      </c>
      <c r="C43" t="inlineStr">
        <is>
          <t>2026 Weekly Auction Mar 24 - Apr 2</t>
        </is>
      </c>
      <c r="D43" s="2" t="n">
        <v>615</v>
      </c>
      <c r="E43" s="2" t="n">
        <v>579.71</v>
      </c>
      <c r="F43" t="inlineStr"/>
      <c r="G43" s="2" t="n">
        <v>0</v>
      </c>
      <c r="H43" s="4" t="n"/>
      <c r="I43" s="2">
        <f>IF(H43&lt;&gt;"",E43-H43,"")</f>
        <v/>
      </c>
      <c r="J43" s="5">
        <f>IF(H43&lt;&gt;"",I43/H43,"")</f>
        <v/>
      </c>
    </row>
    <row r="44">
      <c r="A44" t="n">
        <v>43</v>
      </c>
      <c r="B44" t="inlineStr">
        <is>
          <t>2023-24 Topps Chrome Sapphire Autograph Red Refractor #CG-TM Tyrese Maxey Signed Card (#5/5) - PSA GEM MT 10 - Pop 1</t>
        </is>
      </c>
      <c r="C44" t="inlineStr">
        <is>
          <t>2026 April Elite Auction</t>
        </is>
      </c>
      <c r="D44" s="2" t="n">
        <v>551</v>
      </c>
      <c r="E44" s="2" t="n">
        <v>519.39</v>
      </c>
      <c r="F44" t="inlineStr"/>
      <c r="G44" s="2" t="n">
        <v>0</v>
      </c>
      <c r="H44" s="4" t="n"/>
      <c r="I44" s="2">
        <f>IF(H44&lt;&gt;"",E44-H44,"")</f>
        <v/>
      </c>
      <c r="J44" s="5">
        <f>IF(H44&lt;&gt;"",I44/H44,"")</f>
        <v/>
      </c>
    </row>
    <row r="45">
      <c r="A45" t="n">
        <v>44</v>
      </c>
      <c r="B45" t="inlineStr">
        <is>
          <t>2023-24 Panini Immaculate Collection Immaculate Legends #ILE-YM Yao Ming Signed Card (#31/49) - Panini Encased</t>
        </is>
      </c>
      <c r="C45" t="inlineStr">
        <is>
          <t>2026 April Elite Auction</t>
        </is>
      </c>
      <c r="D45" s="2" t="n">
        <v>500</v>
      </c>
      <c r="E45" s="2" t="n">
        <v>471.31</v>
      </c>
      <c r="F45" t="inlineStr"/>
      <c r="G45" s="2" t="n">
        <v>0</v>
      </c>
      <c r="H45" s="4" t="n"/>
      <c r="I45" s="2">
        <f>IF(H45&lt;&gt;"",E45-H45,"")</f>
        <v/>
      </c>
      <c r="J45" s="5">
        <f>IF(H45&lt;&gt;"",I45/H45,"")</f>
        <v/>
      </c>
    </row>
    <row r="46">
      <c r="A46" t="n">
        <v>45</v>
      </c>
      <c r="B46" t="inlineStr">
        <is>
          <t>2024-25 Panini Flawless Dual Patches Fuchsia #DP-LMB LaMelo Ball Patch Card (#5/5) - Panini Encased</t>
        </is>
      </c>
      <c r="C46" t="inlineStr">
        <is>
          <t>2026 April Elite Auction</t>
        </is>
      </c>
      <c r="D46" s="2" t="n">
        <v>500</v>
      </c>
      <c r="E46" s="2" t="n">
        <v>471.31</v>
      </c>
      <c r="F46" t="inlineStr"/>
      <c r="G46" s="2" t="n">
        <v>0</v>
      </c>
      <c r="H46" s="4" t="n"/>
      <c r="I46" s="2">
        <f>IF(H46&lt;&gt;"",E46-H46,"")</f>
        <v/>
      </c>
      <c r="J46" s="5">
        <f>IF(H46&lt;&gt;"",I46/H46,"")</f>
        <v/>
      </c>
    </row>
    <row r="47">
      <c r="A47" t="n">
        <v>46</v>
      </c>
      <c r="B47" t="inlineStr">
        <is>
          <t>2019-20 Panini Opulence City of Gold Signatures Gold #CG-NJ Nikola Jokic Signed Card (#10/25) - Panini Encased</t>
        </is>
      </c>
      <c r="C47" t="inlineStr">
        <is>
          <t>2026 April Elite Auction</t>
        </is>
      </c>
      <c r="D47" s="2" t="n">
        <v>500</v>
      </c>
      <c r="E47" s="2" t="n">
        <v>471.31</v>
      </c>
      <c r="F47" t="inlineStr"/>
      <c r="G47" s="2" t="n">
        <v>0</v>
      </c>
      <c r="H47" s="4" t="n"/>
      <c r="I47" s="2">
        <f>IF(H47&lt;&gt;"",E47-H47,"")</f>
        <v/>
      </c>
      <c r="J47" s="5">
        <f>IF(H47&lt;&gt;"",I47/H47,"")</f>
        <v/>
      </c>
    </row>
    <row r="48">
      <c r="A48" t="n">
        <v>47</v>
      </c>
      <c r="B48" t="inlineStr">
        <is>
          <t>2011-2012 Upper Deck Exquisite Collection Personal Touch #PTC-VC Vince Carter Signed Card (#01/30) - BGS MINT 9, Beckett 10</t>
        </is>
      </c>
      <c r="C48" t="inlineStr">
        <is>
          <t>2026 Weekly Auction Mar 24 - Apr 2</t>
        </is>
      </c>
      <c r="D48" s="2" t="n">
        <v>500</v>
      </c>
      <c r="E48" s="2" t="n">
        <v>471.31</v>
      </c>
      <c r="F48" t="inlineStr"/>
      <c r="G48" s="2" t="n">
        <v>0</v>
      </c>
      <c r="H48" s="4" t="n"/>
      <c r="I48" s="2">
        <f>IF(H48&lt;&gt;"",E48-H48,"")</f>
        <v/>
      </c>
      <c r="J48" s="5">
        <f>IF(H48&lt;&gt;"",I48/H48,"")</f>
        <v/>
      </c>
    </row>
    <row r="49">
      <c r="A49" t="n">
        <v>48</v>
      </c>
      <c r="B49" t="inlineStr">
        <is>
          <t>Feb. 27, 2013 - Stephen Curry Signed Full Ticket - Golden State Warriors vs. New York Knicks - Season Highs of 54 Points and 11 3-Pointers - PSA Authentic</t>
        </is>
      </c>
      <c r="C49" t="inlineStr">
        <is>
          <t>2026 April Elite Auction</t>
        </is>
      </c>
      <c r="D49" s="2" t="n">
        <v>460</v>
      </c>
      <c r="E49" s="2" t="n">
        <v>433.61</v>
      </c>
      <c r="F49" t="inlineStr"/>
      <c r="G49" s="2" t="n">
        <v>0</v>
      </c>
      <c r="H49" s="4" t="n"/>
      <c r="I49" s="2">
        <f>IF(H49&lt;&gt;"",E49-H49,"")</f>
        <v/>
      </c>
      <c r="J49" s="5">
        <f>IF(H49&lt;&gt;"",I49/H49,"")</f>
        <v/>
      </c>
    </row>
    <row r="50">
      <c r="A50" t="n">
        <v>49</v>
      </c>
      <c r="B50" t="inlineStr">
        <is>
          <t>2019-20 Panini One and One First-Team Signatures Blue #FT-FJK Nikola Jokic Signed Card (#08/49) - Panini Encased</t>
        </is>
      </c>
      <c r="C50" t="inlineStr">
        <is>
          <t>2026 Weekly Auction Mar 24 - Apr 2</t>
        </is>
      </c>
      <c r="D50" s="2" t="n">
        <v>450</v>
      </c>
      <c r="E50" s="2" t="n">
        <v>424.18</v>
      </c>
      <c r="F50" t="inlineStr"/>
      <c r="G50" s="2" t="n">
        <v>0</v>
      </c>
      <c r="H50" s="4" t="n"/>
      <c r="I50" s="2">
        <f>IF(H50&lt;&gt;"",E50-H50,"")</f>
        <v/>
      </c>
      <c r="J50" s="5">
        <f>IF(H50&lt;&gt;"",I50/H50,"")</f>
        <v/>
      </c>
    </row>
    <row r="51">
      <c r="A51" t="n">
        <v>50</v>
      </c>
      <c r="B51" t="inlineStr">
        <is>
          <t>2021-22 Panini Chronicles Hometown Heroes Gold #HHR-CCU Cade Cunningham Signed Rookie Card (#01/10) - Panini Encased</t>
        </is>
      </c>
      <c r="C51" t="inlineStr">
        <is>
          <t>2026 Weekly Auction Apr 21 - Apr 30</t>
        </is>
      </c>
      <c r="D51" s="2" t="n">
        <v>430</v>
      </c>
      <c r="E51" s="2" t="n">
        <v>405.33</v>
      </c>
      <c r="F51" t="inlineStr"/>
      <c r="G51" s="2" t="n">
        <v>0</v>
      </c>
      <c r="H51" s="4" t="n"/>
      <c r="I51" s="2">
        <f>IF(H51&lt;&gt;"",E51-H51,"")</f>
        <v/>
      </c>
      <c r="J51" s="5">
        <f>IF(H51&lt;&gt;"",I51/H51,"")</f>
        <v/>
      </c>
    </row>
    <row r="52">
      <c r="A52" t="n">
        <v>51</v>
      </c>
      <c r="B52" t="inlineStr">
        <is>
          <t>2023 Topps NPB Chrome Topps 2001 Orange Refractor #01-1 Yoshinobu Yamamoto (#01/25) - PSA MINT 9</t>
        </is>
      </c>
      <c r="C52" t="inlineStr">
        <is>
          <t>2026 Weekly Auction Mar 24 - Apr 2</t>
        </is>
      </c>
      <c r="D52" s="2" t="n">
        <v>425</v>
      </c>
      <c r="E52" s="2" t="n">
        <v>400.61</v>
      </c>
      <c r="F52" t="inlineStr"/>
      <c r="G52" s="2" t="n">
        <v>0</v>
      </c>
      <c r="H52" s="4" t="n"/>
      <c r="I52" s="2">
        <f>IF(H52&lt;&gt;"",E52-H52,"")</f>
        <v/>
      </c>
      <c r="J52" s="5">
        <f>IF(H52&lt;&gt;"",I52/H52,"")</f>
        <v/>
      </c>
    </row>
    <row r="53">
      <c r="A53" t="n">
        <v>52</v>
      </c>
      <c r="B53" t="inlineStr">
        <is>
          <t>2019-20 Panini Prizm Sensational Swatches Prizms Orange Ice #SS-SCU Stephen Curry Signed Relic Card - BGS Authentic Sticker Autograph</t>
        </is>
      </c>
      <c r="C53" t="inlineStr">
        <is>
          <t>2026 Weekly Auction Mar 24 - Apr 2</t>
        </is>
      </c>
      <c r="D53" s="2" t="n">
        <v>422</v>
      </c>
      <c r="E53" s="2" t="n">
        <v>397.79</v>
      </c>
      <c r="F53" t="inlineStr"/>
      <c r="G53" s="2" t="n">
        <v>0</v>
      </c>
      <c r="H53" s="4" t="n"/>
      <c r="I53" s="2">
        <f>IF(H53&lt;&gt;"",E53-H53,"")</f>
        <v/>
      </c>
      <c r="J53" s="5">
        <f>IF(H53&lt;&gt;"",I53/H53,"")</f>
        <v/>
      </c>
    </row>
    <row r="54">
      <c r="A54" t="n">
        <v>53</v>
      </c>
      <c r="B54" t="inlineStr">
        <is>
          <t>2009-10 Upper Deck SP Game Used 3 Star Swatches #3S-BMJ Kobe Bryant/LeBron James/Oscar Robertson Relic Card (#182/299) - BGS NM-MT 8</t>
        </is>
      </c>
      <c r="C54" t="inlineStr">
        <is>
          <t>2026 Weekly Auction Mar 24 - Apr 2</t>
        </is>
      </c>
      <c r="D54" s="2" t="n">
        <v>383</v>
      </c>
      <c r="E54" s="2" t="n">
        <v>361.02</v>
      </c>
      <c r="F54" t="inlineStr"/>
      <c r="G54" s="2" t="n">
        <v>0</v>
      </c>
      <c r="H54" s="4" t="n"/>
      <c r="I54" s="2">
        <f>IF(H54&lt;&gt;"",E54-H54,"")</f>
        <v/>
      </c>
      <c r="J54" s="5">
        <f>IF(H54&lt;&gt;"",I54/H54,"")</f>
        <v/>
      </c>
    </row>
    <row r="55">
      <c r="A55" t="n">
        <v>54</v>
      </c>
      <c r="B55" t="inlineStr">
        <is>
          <t>Stephen Curry Signed Trading Card - PSA/DNA Authentic</t>
        </is>
      </c>
      <c r="C55" t="inlineStr">
        <is>
          <t>2026 Weekly Auction Apr 21 - Apr 30</t>
        </is>
      </c>
      <c r="D55" s="2" t="n">
        <v>331</v>
      </c>
      <c r="E55" s="2" t="n">
        <v>312.01</v>
      </c>
      <c r="F55" t="inlineStr"/>
      <c r="G55" s="2" t="n">
        <v>0</v>
      </c>
      <c r="H55" s="4" t="n"/>
      <c r="I55" s="2">
        <f>IF(H55&lt;&gt;"",E55-H55,"")</f>
        <v/>
      </c>
      <c r="J55" s="5">
        <f>IF(H55&lt;&gt;"",I55/H55,"")</f>
        <v/>
      </c>
    </row>
    <row r="56">
      <c r="A56" t="n">
        <v>55</v>
      </c>
      <c r="B56" t="inlineStr">
        <is>
          <t>2025 Topps Five Star Pentamerous Penmanship #PP-RS Roki Sasaki Signed Rookie Card (#20/25) - Topps Encased</t>
        </is>
      </c>
      <c r="C56" t="inlineStr">
        <is>
          <t>2026 Weekly Auction Apr 7 - Apr 16</t>
        </is>
      </c>
      <c r="D56" s="2" t="n">
        <v>330</v>
      </c>
      <c r="E56" s="2" t="n">
        <v>311.07</v>
      </c>
      <c r="F56" t="inlineStr"/>
      <c r="G56" s="2" t="n">
        <v>0</v>
      </c>
      <c r="H56" s="4" t="n"/>
      <c r="I56" s="2">
        <f>IF(H56&lt;&gt;"",E56-H56,"")</f>
        <v/>
      </c>
      <c r="J56" s="5">
        <f>IF(H56&lt;&gt;"",I56/H56,"")</f>
        <v/>
      </c>
    </row>
    <row r="57">
      <c r="A57" t="n">
        <v>56</v>
      </c>
      <c r="B57" t="inlineStr">
        <is>
          <t>2024-25 Panini Instant NIL Autographs #VJED-1 VJ Edgecombe Signed Rookie Card (#08/99) - Panini Encased</t>
        </is>
      </c>
      <c r="C57" t="inlineStr">
        <is>
          <t>2026 Weekly Auction Mar 24 - Apr 2</t>
        </is>
      </c>
      <c r="D57" s="2" t="n">
        <v>325</v>
      </c>
      <c r="E57" s="2" t="n">
        <v>306.35</v>
      </c>
      <c r="F57" t="inlineStr"/>
      <c r="G57" s="2" t="n">
        <v>0</v>
      </c>
      <c r="H57" s="4" t="n"/>
      <c r="I57" s="2">
        <f>IF(H57&lt;&gt;"",E57-H57,"")</f>
        <v/>
      </c>
      <c r="J57" s="5">
        <f>IF(H57&lt;&gt;"",I57/H57,"")</f>
        <v/>
      </c>
    </row>
    <row r="58">
      <c r="A58" t="n">
        <v>57</v>
      </c>
      <c r="B58" t="inlineStr">
        <is>
          <t>2010-11 Panini Classics #179 Jeremy Lin Signed Rookie Card - BGS GEM MINT 9.5, Beckett 10</t>
        </is>
      </c>
      <c r="C58" t="inlineStr">
        <is>
          <t>2026 Weekly Auction Apr 21 - Apr 30</t>
        </is>
      </c>
      <c r="D58" s="2" t="n">
        <v>260</v>
      </c>
      <c r="E58" s="2" t="n">
        <v>245.08</v>
      </c>
      <c r="F58" t="inlineStr"/>
      <c r="G58" s="2" t="n">
        <v>0</v>
      </c>
      <c r="H58" s="4" t="n"/>
      <c r="I58" s="2">
        <f>IF(H58&lt;&gt;"",E58-H58,"")</f>
        <v/>
      </c>
      <c r="J58" s="5">
        <f>IF(H58&lt;&gt;"",I58/H58,"")</f>
        <v/>
      </c>
    </row>
    <row r="59">
      <c r="A59" t="n">
        <v>58</v>
      </c>
      <c r="B59" t="inlineStr">
        <is>
          <t>2014-15 Panini Flawless Association Autographs Gold #AA-JE Julius Erving Signed Card (#03/10) - BGS NM-MT 8</t>
        </is>
      </c>
      <c r="C59" t="inlineStr">
        <is>
          <t>2026 Weekly Auction Mar 24 - Apr 2</t>
        </is>
      </c>
      <c r="D59" s="2" t="n">
        <v>254</v>
      </c>
      <c r="E59" s="2" t="n">
        <v>239.43</v>
      </c>
      <c r="F59" t="inlineStr"/>
      <c r="G59" s="2" t="n">
        <v>0</v>
      </c>
      <c r="H59" s="4" t="n"/>
      <c r="I59" s="2">
        <f>IF(H59&lt;&gt;"",E59-H59,"")</f>
        <v/>
      </c>
      <c r="J59" s="5">
        <f>IF(H59&lt;&gt;"",I59/H59,"")</f>
        <v/>
      </c>
    </row>
    <row r="60">
      <c r="A60" t="n">
        <v>59</v>
      </c>
      <c r="B60" t="inlineStr">
        <is>
          <t>2019-20 Panini Immaculate Collection Shadowbox Signatures '25 Black Box #SS-VCT Vince Carter Signed Card (#1/1) - Panini Encased</t>
        </is>
      </c>
      <c r="C60" t="inlineStr">
        <is>
          <t>2026 Weekly Auction Apr 21 - Apr 30</t>
        </is>
      </c>
      <c r="D60" s="2" t="n">
        <v>245</v>
      </c>
      <c r="E60" s="2" t="n">
        <v>230.94</v>
      </c>
      <c r="F60" t="inlineStr"/>
      <c r="G60" s="2" t="n">
        <v>0</v>
      </c>
      <c r="H60" s="4" t="n"/>
      <c r="I60" s="2">
        <f>IF(H60&lt;&gt;"",E60-H60,"")</f>
        <v/>
      </c>
      <c r="J60" s="5">
        <f>IF(H60&lt;&gt;"",I60/H60,"")</f>
        <v/>
      </c>
    </row>
    <row r="61">
      <c r="A61" t="n">
        <v>60</v>
      </c>
      <c r="B61" t="inlineStr">
        <is>
          <t>2024-25 Panini Flawless Vault Memorabilia #FVM-KAT Karl-Anthony Towns Patch Card (#12/25) - PSA NM-MT 8</t>
        </is>
      </c>
      <c r="C61" t="inlineStr">
        <is>
          <t>2026 Weekly Auction Mar 24 - Apr 2</t>
        </is>
      </c>
      <c r="D61" s="2" t="n">
        <v>215</v>
      </c>
      <c r="E61" s="2" t="n">
        <v>202.66</v>
      </c>
      <c r="F61" t="inlineStr"/>
      <c r="G61" s="2" t="n">
        <v>0</v>
      </c>
      <c r="H61" s="4" t="n"/>
      <c r="I61" s="2">
        <f>IF(H61&lt;&gt;"",E61-H61,"")</f>
        <v/>
      </c>
      <c r="J61" s="5">
        <f>IF(H61&lt;&gt;"",I61/H61,"")</f>
        <v/>
      </c>
    </row>
    <row r="62">
      <c r="A62" t="n">
        <v>61</v>
      </c>
      <c r="B62" t="inlineStr">
        <is>
          <t>2013-14 Upper Deck All-Time Greats Signatures #ATG-J02 Magic Johnson Signed Card (#16/50) - BGS GEM MINT 9.5</t>
        </is>
      </c>
      <c r="C62" t="inlineStr">
        <is>
          <t>2026 Weekly Auction Mar 24 - Apr 2</t>
        </is>
      </c>
      <c r="D62" s="2" t="n">
        <v>205</v>
      </c>
      <c r="E62" s="2" t="n">
        <v>193.24</v>
      </c>
      <c r="F62" t="inlineStr"/>
      <c r="G62" s="2" t="n">
        <v>0</v>
      </c>
      <c r="H62" s="4" t="n"/>
      <c r="I62" s="2">
        <f>IF(H62&lt;&gt;"",E62-H62,"")</f>
        <v/>
      </c>
      <c r="J62" s="5">
        <f>IF(H62&lt;&gt;"",I62/H62,"")</f>
        <v/>
      </c>
    </row>
    <row r="63">
      <c r="A63" t="n">
        <v>62</v>
      </c>
      <c r="B63" t="inlineStr">
        <is>
          <t>2020-21 Panini One and One Rookie Jersey Autographs Blue #RJA-LMB LaMelo Ball Signed Patch Rookie Card (#20/49) - Panini Encased</t>
        </is>
      </c>
      <c r="C63" t="inlineStr">
        <is>
          <t>2026 Weekly Auction Apr 21 - Apr 30</t>
        </is>
      </c>
      <c r="D63" s="2" t="n">
        <v>191</v>
      </c>
      <c r="E63" s="2" t="n">
        <v>180.04</v>
      </c>
      <c r="F63" t="inlineStr"/>
      <c r="G63" s="2" t="n">
        <v>0</v>
      </c>
      <c r="H63" s="4" t="n"/>
      <c r="I63" s="2">
        <f>IF(H63&lt;&gt;"",E63-H63,"")</f>
        <v/>
      </c>
      <c r="J63" s="5">
        <f>IF(H63&lt;&gt;"",I63/H63,"")</f>
        <v/>
      </c>
    </row>
    <row r="64">
      <c r="A64" t="n">
        <v>63</v>
      </c>
      <c r="B64" t="inlineStr">
        <is>
          <t>2020-21 Panini Donruss Optic Signature Series #SS-LBL LaMelo Ball Signed Rookie Card - PSA Authentic, PSA/DNA GEM MT 10</t>
        </is>
      </c>
      <c r="C64" t="inlineStr">
        <is>
          <t>2026 Weekly Auction Mar 3 - Mar 12</t>
        </is>
      </c>
      <c r="D64" s="2" t="n">
        <v>170</v>
      </c>
      <c r="E64" s="2" t="n">
        <v>160.25</v>
      </c>
      <c r="F64" t="inlineStr"/>
      <c r="G64" s="2" t="n">
        <v>0</v>
      </c>
      <c r="H64" s="4" t="n"/>
      <c r="I64" s="2">
        <f>IF(H64&lt;&gt;"",E64-H64,"")</f>
        <v/>
      </c>
      <c r="J64" s="5">
        <f>IF(H64&lt;&gt;"",I64/H64,"")</f>
        <v/>
      </c>
    </row>
    <row r="65">
      <c r="A65" t="n">
        <v>64</v>
      </c>
      <c r="B65" t="inlineStr">
        <is>
          <t>2024-25 Panini Noir Emblazoned Ink #EBI-DML Damian Lillard Signed Card (#34/49) - Panini Encased</t>
        </is>
      </c>
      <c r="C65" t="inlineStr">
        <is>
          <t>2026 Weekly Auction Mar 24 - Apr 2</t>
        </is>
      </c>
      <c r="D65" s="2" t="n">
        <v>132</v>
      </c>
      <c r="E65" s="2" t="n">
        <v>124.43</v>
      </c>
      <c r="F65" t="inlineStr"/>
      <c r="G65" s="2" t="n">
        <v>0</v>
      </c>
      <c r="H65" s="4" t="n"/>
      <c r="I65" s="2">
        <f>IF(H65&lt;&gt;"",E65-H65,"")</f>
        <v/>
      </c>
      <c r="J65" s="5">
        <f>IF(H65&lt;&gt;"",I65/H65,"")</f>
        <v/>
      </c>
    </row>
    <row r="66">
      <c r="A66" t="n">
        <v>65</v>
      </c>
      <c r="B66" t="inlineStr">
        <is>
          <t>2022-23 Panini Recon Rookie Recon Signatures Purple #RRS-PBC Paolo Banchero Signed Rookie Card (#12/25) - PSA NM-MT 8, PSA/DNA GEM MT 10</t>
        </is>
      </c>
      <c r="C66" t="inlineStr">
        <is>
          <t>2026 Weekly Auction Mar 24 - Apr 2</t>
        </is>
      </c>
      <c r="D66" s="2" t="n">
        <v>130</v>
      </c>
      <c r="E66" s="2" t="n">
        <v>122.54</v>
      </c>
      <c r="F66" t="inlineStr"/>
      <c r="G66" s="2" t="n">
        <v>0</v>
      </c>
      <c r="H66" s="4" t="n"/>
      <c r="I66" s="2">
        <f>IF(H66&lt;&gt;"",E66-H66,"")</f>
        <v/>
      </c>
      <c r="J66" s="5">
        <f>IF(H66&lt;&gt;"",I66/H66,"")</f>
        <v/>
      </c>
    </row>
    <row r="67">
      <c r="A67" t="n">
        <v>66</v>
      </c>
      <c r="B67" t="inlineStr">
        <is>
          <t>2025-26 Topps Rise To Stardom Black Rainbow #RTS-3 VJ Edgecombe Rookie Card (#01/10) - PSA NM-MT 8</t>
        </is>
      </c>
      <c r="C67" t="inlineStr">
        <is>
          <t>2026 Weekly Auction Mar 3 - Mar 12</t>
        </is>
      </c>
      <c r="D67" s="2" t="n">
        <v>130</v>
      </c>
      <c r="E67" s="2" t="n">
        <v>122.54</v>
      </c>
      <c r="F67" t="inlineStr"/>
      <c r="G67" s="2" t="n">
        <v>0</v>
      </c>
      <c r="H67" s="4" t="n"/>
      <c r="I67" s="2">
        <f>IF(H67&lt;&gt;"",E67-H67,"")</f>
        <v/>
      </c>
      <c r="J67" s="5">
        <f>IF(H67&lt;&gt;"",I67/H67,"")</f>
        <v/>
      </c>
    </row>
    <row r="68">
      <c r="A68" t="n">
        <v>67</v>
      </c>
      <c r="B68" t="inlineStr">
        <is>
          <t>Mike Tyson Signed Everlast Boxing Glove - Fiterman Sports</t>
        </is>
      </c>
      <c r="C68" t="inlineStr">
        <is>
          <t>2026 Weekly Auction Mar 3 - Mar 12</t>
        </is>
      </c>
      <c r="D68" s="2" t="n">
        <v>110</v>
      </c>
      <c r="E68" s="2" t="n">
        <v>103.69</v>
      </c>
      <c r="F68" t="inlineStr"/>
      <c r="G68" s="2" t="n">
        <v>0</v>
      </c>
      <c r="H68" s="4" t="n"/>
      <c r="I68" s="2">
        <f>IF(H68&lt;&gt;"",E68-H68,"")</f>
        <v/>
      </c>
      <c r="J68" s="5">
        <f>IF(H68&lt;&gt;"",I68/H68,"")</f>
        <v/>
      </c>
    </row>
    <row r="69">
      <c r="A69" t="n">
        <v>68</v>
      </c>
      <c r="B69" t="inlineStr">
        <is>
          <t>2012-13 Upper Deck Exquisite Collection Dimensions #D-JE Julius Erving Signed Card</t>
        </is>
      </c>
      <c r="C69" t="inlineStr">
        <is>
          <t>2026 Weekly Auction Mar 3 - Mar 12</t>
        </is>
      </c>
      <c r="D69" s="2" t="n">
        <v>102</v>
      </c>
      <c r="E69" s="2" t="n">
        <v>96.15000000000001</v>
      </c>
      <c r="F69" t="inlineStr"/>
      <c r="G69" s="2" t="n">
        <v>0</v>
      </c>
      <c r="H69" s="4" t="n"/>
      <c r="I69" s="2">
        <f>IF(H69&lt;&gt;"",E69-H69,"")</f>
        <v/>
      </c>
      <c r="J69" s="5">
        <f>IF(H69&lt;&gt;"",I69/H69,"")</f>
        <v/>
      </c>
    </row>
    <row r="70">
      <c r="A70" t="n">
        <v>69</v>
      </c>
      <c r="B70" t="inlineStr">
        <is>
          <t>2019-20 Panini One and One Dual Jersey Autographs Purple #DJA-DAF De'Aaron Fox Signed Relic Card (#06/35) - Panini Encased</t>
        </is>
      </c>
      <c r="C70" t="inlineStr">
        <is>
          <t>2026 Weekly Auction Apr 21 - Apr 30</t>
        </is>
      </c>
      <c r="D70" s="2" t="n">
        <v>66</v>
      </c>
      <c r="E70" s="2" t="n">
        <v>62.21</v>
      </c>
      <c r="F70" t="inlineStr"/>
      <c r="G70" s="2" t="n">
        <v>0</v>
      </c>
      <c r="H70" s="4" t="n"/>
      <c r="I70" s="2">
        <f>IF(H70&lt;&gt;"",E70-H70,"")</f>
        <v/>
      </c>
      <c r="J70" s="5">
        <f>IF(H70&lt;&gt;"",I70/H70,"")</f>
        <v/>
      </c>
    </row>
    <row r="71">
      <c r="A71" t="n">
        <v>70</v>
      </c>
      <c r="B71" t="inlineStr">
        <is>
          <t>Allen Iverson Signed Trading Card - PSA/DNA Authentic</t>
        </is>
      </c>
      <c r="C71" t="inlineStr">
        <is>
          <t>2026 Weekly Auction Apr 21 - Apr 30</t>
        </is>
      </c>
      <c r="D71" s="2" t="n">
        <v>62</v>
      </c>
      <c r="E71" s="2" t="n">
        <v>58.44</v>
      </c>
      <c r="F71" t="inlineStr"/>
      <c r="G71" s="2" t="n">
        <v>0</v>
      </c>
      <c r="H71" s="4" t="n"/>
      <c r="I71" s="2">
        <f>IF(H71&lt;&gt;"",E71-H71,"")</f>
        <v/>
      </c>
      <c r="J71" s="5">
        <f>IF(H71&lt;&gt;"",I71/H71,"")</f>
        <v/>
      </c>
    </row>
    <row r="72">
      <c r="A72" t="n">
        <v>71</v>
      </c>
      <c r="B72" t="inlineStr">
        <is>
          <t>2022-23 Panini Immaculate Collection Patch Autographs Jersey Number #IPA-RGO Rudy Gobert Signed Relic Card (#06/27) - Panini Encased</t>
        </is>
      </c>
      <c r="C72" t="inlineStr">
        <is>
          <t>2026 Weekly Auction Apr 21 - Apr 30</t>
        </is>
      </c>
      <c r="D72" s="2" t="n">
        <v>24</v>
      </c>
      <c r="E72" s="2" t="n">
        <v>22.62</v>
      </c>
      <c r="F72" t="inlineStr"/>
      <c r="G72" s="2" t="n">
        <v>0</v>
      </c>
      <c r="H72" s="4" t="n"/>
      <c r="I72" s="2">
        <f>IF(H72&lt;&gt;"",E72-H72,"")</f>
        <v/>
      </c>
      <c r="J72" s="5">
        <f>IF(H72&lt;&gt;"",I72/H72,"")</f>
        <v/>
      </c>
    </row>
    <row r="74">
      <c r="D74" s="8" t="inlineStr">
        <is>
          <t>TOTALS:</t>
        </is>
      </c>
      <c r="E74" s="9">
        <f>SUM(E2:E72)</f>
        <v/>
      </c>
      <c r="H74" s="9">
        <f>SUM(H2:H72)</f>
        <v/>
      </c>
      <c r="I74" s="10">
        <f>SUM(I2:I72)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2" t="inlineStr">
        <is>
          <t>GOLDIN TAX P&amp;L SUMMARY</t>
        </is>
      </c>
    </row>
    <row r="3">
      <c r="A3" t="inlineStr">
        <is>
          <t>Total cards sold</t>
        </is>
      </c>
      <c r="B3" t="n">
        <v>215</v>
      </c>
    </row>
    <row r="4">
      <c r="A4" t="inlineStr">
        <is>
          <t>Cards with eBay cost match</t>
        </is>
      </c>
      <c r="B4" t="n">
        <v>144</v>
      </c>
    </row>
    <row r="5">
      <c r="A5" t="inlineStr">
        <is>
          <t>Cards needing manual cost</t>
        </is>
      </c>
      <c r="B5" t="n">
        <v>71</v>
      </c>
    </row>
    <row r="7">
      <c r="A7" s="8" t="inlineStr">
        <is>
          <t>MATCHED CARDS</t>
        </is>
      </c>
    </row>
    <row r="8">
      <c r="A8" t="inlineStr">
        <is>
          <t>Total Goldin proceeds</t>
        </is>
      </c>
      <c r="B8" s="2">
        <f>'Matched - Verify'!E147</f>
        <v/>
      </c>
    </row>
    <row r="9">
      <c r="A9" t="inlineStr">
        <is>
          <t>Total eBay cost basis</t>
        </is>
      </c>
      <c r="B9" s="2">
        <f>'Matched - Verify'!J147</f>
        <v/>
      </c>
    </row>
    <row r="10">
      <c r="A10" t="inlineStr">
        <is>
          <t>Net P&amp;L (matched)</t>
        </is>
      </c>
      <c r="B10" s="13">
        <f>'Matched - Verify'!K147</f>
        <v/>
      </c>
    </row>
    <row r="12">
      <c r="A12" s="8" t="inlineStr">
        <is>
          <t>UNMATCHED CARDS</t>
        </is>
      </c>
    </row>
    <row r="13">
      <c r="A13" t="inlineStr">
        <is>
          <t>Total Goldin proceeds</t>
        </is>
      </c>
      <c r="B13" s="2">
        <f>'Unmatched - Enter Cost'!E74</f>
        <v/>
      </c>
    </row>
    <row r="14">
      <c r="A14" t="inlineStr">
        <is>
          <t>Total eBay cost basis (entered)</t>
        </is>
      </c>
      <c r="B14" s="2">
        <f>'Unmatched - Enter Cost'!H74</f>
        <v/>
      </c>
    </row>
    <row r="15">
      <c r="A15" t="inlineStr">
        <is>
          <t>Net P&amp;L (unmatched)</t>
        </is>
      </c>
      <c r="B15" s="13">
        <f>'Unmatched - Enter Cost'!I74</f>
        <v/>
      </c>
    </row>
    <row r="17">
      <c r="A17" s="14" t="inlineStr">
        <is>
          <t>COMBINED TOTAL P&amp;L</t>
        </is>
      </c>
      <c r="B17" s="15">
        <f>B10+B15</f>
        <v/>
      </c>
    </row>
    <row r="19">
      <c r="A19" s="8" t="inlineStr">
        <is>
          <t>INSTRUCTIONS</t>
        </is>
      </c>
    </row>
    <row r="20">
      <c r="A20" t="inlineStr">
        <is>
          <t>1. 'Matched' tab: verify auto-matches, correct Column I if wrong</t>
        </is>
      </c>
    </row>
    <row r="21">
      <c r="A21" t="inlineStr">
        <is>
          <t>2. 'Unmatched' tab: enter your eBay cost in Column H</t>
        </is>
      </c>
    </row>
    <row r="22">
      <c r="A22" t="inlineStr">
        <is>
          <t>3. Summary tab auto-calculates combined P&amp;L</t>
        </is>
      </c>
    </row>
    <row r="23">
      <c r="A23" t="inlineStr">
        <is>
          <t>4. Upload corrected file back for final report</t>
        </is>
      </c>
    </row>
    <row r="24">
      <c r="A24" t="inlineStr"/>
    </row>
    <row r="25">
      <c r="A25" t="inlineStr">
        <is>
          <t>Seller proceeds = (Goldin Final ÷ 1.22) × 1.15</t>
        </is>
      </c>
    </row>
    <row r="26">
      <c r="A26" t="inlineStr">
        <is>
          <t>P&amp;L = Seller Proceeds - Cost 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2026-06-24T19:08:20Z</dcterms:created>
  <dcterms:modified xsi:type="dcterms:W3CDTF">2026-06-24T19:08:20Z</dcterms:modified>
</cp:coreProperties>
</file>
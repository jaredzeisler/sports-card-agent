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pada\Dropbox\~Documents\Business\Wheelhouse Associates LLC\Wheelhouse Corporate\Financial\Consignment\Consignor Payments\Recons\"/>
    </mc:Choice>
  </mc:AlternateContent>
  <xr:revisionPtr revIDLastSave="0" documentId="13_ncr:1_{FD25DE78-F25E-4740-9A29-D315FC761653}" xr6:coauthVersionLast="47" xr6:coauthVersionMax="47" xr10:uidLastSave="{00000000-0000-0000-0000-000000000000}"/>
  <bookViews>
    <workbookView xWindow="-120" yWindow="-120" windowWidth="29040" windowHeight="15720" tabRatio="731" xr2:uid="{4490D508-19B8-4F2A-8CCC-C5316D8BC367}"/>
  </bookViews>
  <sheets>
    <sheet name="TOTALS" sheetId="2" r:id="rId1"/>
    <sheet name="2-21" sheetId="1" r:id="rId2"/>
    <sheet name="3-1" sheetId="3" r:id="rId3"/>
    <sheet name="3-22" sheetId="5" r:id="rId4"/>
    <sheet name="3-29" sheetId="7" r:id="rId5"/>
    <sheet name="4-5" sheetId="8" r:id="rId6"/>
    <sheet name="4-12" sheetId="9" r:id="rId7"/>
    <sheet name="4-19" sheetId="11" r:id="rId8"/>
    <sheet name="4-26" sheetId="12" r:id="rId9"/>
    <sheet name="5-3" sheetId="13" r:id="rId10"/>
    <sheet name="5-10" sheetId="14" r:id="rId11"/>
  </sheets>
  <definedNames>
    <definedName name="_xlnm._FilterDatabase" localSheetId="1" hidden="1">'2-21'!$A$1:$J$60</definedName>
    <definedName name="_xlnm._FilterDatabase" localSheetId="2" hidden="1">'3-1'!$A$1:$L$20</definedName>
    <definedName name="_xlnm._FilterDatabase" localSheetId="3" hidden="1">'3-22'!$A$1:$L$79</definedName>
    <definedName name="_xlnm._FilterDatabase" localSheetId="4" hidden="1">'3-29'!$A$1:$L$24</definedName>
    <definedName name="_xlnm._FilterDatabase" localSheetId="6" hidden="1">'4-12'!$A$1:$L$12</definedName>
    <definedName name="_xlnm._FilterDatabase" localSheetId="7" hidden="1">'4-19'!$A$1:$L$3</definedName>
    <definedName name="_xlnm._FilterDatabase" localSheetId="8" hidden="1">'4-26'!$A$1:$L$23</definedName>
    <definedName name="_xlnm._FilterDatabase" localSheetId="5" hidden="1">'4-5'!$A$1:$L$4</definedName>
    <definedName name="_xlnm._FilterDatabase" localSheetId="10" hidden="1">'5-10'!$A$1:$L$9</definedName>
    <definedName name="_xlnm._FilterDatabase" localSheetId="9" hidden="1">'5-3'!$A$1:$L$18</definedName>
    <definedName name="_xlnm.Print_Area" localSheetId="0">TOTALS!$B$3:$J$15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2" l="1"/>
  <c r="J14" i="2"/>
  <c r="I14" i="2"/>
  <c r="H14" i="2"/>
  <c r="G14" i="2"/>
  <c r="D14" i="2"/>
  <c r="G3" i="14"/>
  <c r="G4" i="14"/>
  <c r="G5" i="14"/>
  <c r="G6" i="14"/>
  <c r="G7" i="14"/>
  <c r="G8" i="14"/>
  <c r="G9" i="14"/>
  <c r="G2" i="14"/>
  <c r="E3" i="14"/>
  <c r="E4" i="14"/>
  <c r="E5" i="14"/>
  <c r="E6" i="14"/>
  <c r="E7" i="14"/>
  <c r="E8" i="14"/>
  <c r="E9" i="14"/>
  <c r="E2" i="14"/>
  <c r="H11" i="14"/>
  <c r="G11" i="14"/>
  <c r="F11" i="14"/>
  <c r="E11" i="14"/>
  <c r="C11" i="14"/>
  <c r="A11" i="14"/>
  <c r="L9" i="14"/>
  <c r="L8" i="14"/>
  <c r="L7" i="14"/>
  <c r="L6" i="14"/>
  <c r="L5" i="14"/>
  <c r="L4" i="14"/>
  <c r="L3" i="14"/>
  <c r="L2" i="14"/>
  <c r="L11" i="14" s="1"/>
  <c r="G13" i="2"/>
  <c r="D13" i="2"/>
  <c r="L7" i="13"/>
  <c r="L8" i="13"/>
  <c r="L10" i="13"/>
  <c r="L12" i="13"/>
  <c r="L13" i="13"/>
  <c r="H20" i="13"/>
  <c r="E13" i="2" s="1"/>
  <c r="G20" i="13"/>
  <c r="J13" i="2" s="1"/>
  <c r="F20" i="13"/>
  <c r="I13" i="2" s="1"/>
  <c r="C20" i="13"/>
  <c r="A20" i="13"/>
  <c r="L16" i="13"/>
  <c r="L14" i="13"/>
  <c r="L3" i="13"/>
  <c r="L17" i="13"/>
  <c r="L6" i="13"/>
  <c r="L5" i="13"/>
  <c r="L4" i="13"/>
  <c r="L18" i="13"/>
  <c r="L11" i="13"/>
  <c r="L9" i="13"/>
  <c r="L15" i="13"/>
  <c r="L3" i="12"/>
  <c r="L4" i="12"/>
  <c r="L5" i="12"/>
  <c r="L6" i="12"/>
  <c r="L7" i="12"/>
  <c r="L8" i="12"/>
  <c r="L9" i="12"/>
  <c r="L10" i="12"/>
  <c r="L11" i="12"/>
  <c r="L12" i="12"/>
  <c r="L14" i="12"/>
  <c r="L15" i="12"/>
  <c r="L16" i="12"/>
  <c r="L17" i="12"/>
  <c r="L18" i="12"/>
  <c r="L19" i="12"/>
  <c r="L20" i="12"/>
  <c r="L21" i="12"/>
  <c r="L22" i="12"/>
  <c r="L23" i="12"/>
  <c r="G25" i="12"/>
  <c r="J12" i="2" s="1"/>
  <c r="E25" i="12"/>
  <c r="H12" i="2" s="1"/>
  <c r="F25" i="12"/>
  <c r="I12" i="2" s="1"/>
  <c r="C25" i="12"/>
  <c r="A25" i="12"/>
  <c r="L2" i="12"/>
  <c r="H11" i="2"/>
  <c r="G11" i="2"/>
  <c r="E11" i="2"/>
  <c r="F11" i="2" s="1"/>
  <c r="D11" i="2"/>
  <c r="H5" i="11"/>
  <c r="F5" i="11"/>
  <c r="I11" i="2" s="1"/>
  <c r="C5" i="11"/>
  <c r="A5" i="11"/>
  <c r="L3" i="11"/>
  <c r="E5" i="11"/>
  <c r="L5" i="9"/>
  <c r="L6" i="9"/>
  <c r="L3" i="9"/>
  <c r="L11" i="9"/>
  <c r="L4" i="9"/>
  <c r="E14" i="9"/>
  <c r="H10" i="2" s="1"/>
  <c r="L7" i="9"/>
  <c r="L9" i="9"/>
  <c r="H14" i="9"/>
  <c r="E10" i="2" s="1"/>
  <c r="F14" i="9"/>
  <c r="I10" i="2" s="1"/>
  <c r="C14" i="9"/>
  <c r="G10" i="2" s="1"/>
  <c r="A14" i="9"/>
  <c r="D10" i="2" s="1"/>
  <c r="L10" i="9"/>
  <c r="L8" i="9"/>
  <c r="L2" i="9"/>
  <c r="I9" i="2"/>
  <c r="G9" i="2"/>
  <c r="E9" i="2"/>
  <c r="D9" i="2"/>
  <c r="E6" i="8"/>
  <c r="H9" i="2" s="1"/>
  <c r="H6" i="8"/>
  <c r="G6" i="8"/>
  <c r="J9" i="2" s="1"/>
  <c r="F6" i="8"/>
  <c r="C6" i="8"/>
  <c r="A6" i="8"/>
  <c r="L4" i="8"/>
  <c r="L3" i="8"/>
  <c r="L2" i="8"/>
  <c r="L6" i="8" s="1"/>
  <c r="E26" i="7"/>
  <c r="H8" i="2" s="1"/>
  <c r="L7" i="7"/>
  <c r="L8" i="7"/>
  <c r="L9" i="7"/>
  <c r="L10" i="7"/>
  <c r="L11" i="7"/>
  <c r="L12" i="7"/>
  <c r="L13" i="7"/>
  <c r="L14" i="7"/>
  <c r="L21" i="7"/>
  <c r="L22" i="7"/>
  <c r="L23" i="7"/>
  <c r="L24" i="7"/>
  <c r="L6" i="7"/>
  <c r="A26" i="7"/>
  <c r="D8" i="2" s="1"/>
  <c r="H26" i="7"/>
  <c r="E8" i="2" s="1"/>
  <c r="F26" i="7"/>
  <c r="I8" i="2" s="1"/>
  <c r="C26" i="7"/>
  <c r="G8" i="2" s="1"/>
  <c r="L20" i="7"/>
  <c r="L19" i="7"/>
  <c r="L18" i="7"/>
  <c r="L17" i="7"/>
  <c r="L16" i="7"/>
  <c r="L15" i="7"/>
  <c r="L5" i="7"/>
  <c r="L4" i="7"/>
  <c r="L3" i="7"/>
  <c r="L2" i="7"/>
  <c r="G7" i="2"/>
  <c r="D7" i="2"/>
  <c r="L5" i="5"/>
  <c r="L7" i="5"/>
  <c r="L9" i="5"/>
  <c r="L12" i="5"/>
  <c r="L13" i="5"/>
  <c r="L18" i="5"/>
  <c r="L19" i="5"/>
  <c r="L21" i="5"/>
  <c r="L22" i="5"/>
  <c r="L23" i="5"/>
  <c r="L24" i="5"/>
  <c r="L25" i="5"/>
  <c r="L26" i="5"/>
  <c r="L30" i="5"/>
  <c r="L34" i="5"/>
  <c r="L36" i="5"/>
  <c r="L37" i="5"/>
  <c r="L38" i="5"/>
  <c r="L40" i="5"/>
  <c r="L46" i="5"/>
  <c r="L47" i="5"/>
  <c r="L48" i="5"/>
  <c r="L49" i="5"/>
  <c r="L53" i="5"/>
  <c r="L57" i="5"/>
  <c r="L59" i="5"/>
  <c r="L60" i="5"/>
  <c r="L61" i="5"/>
  <c r="L62" i="5"/>
  <c r="L65" i="5"/>
  <c r="L68" i="5"/>
  <c r="L71" i="5"/>
  <c r="L73" i="5"/>
  <c r="L74" i="5"/>
  <c r="L79" i="5"/>
  <c r="L2" i="5"/>
  <c r="L43" i="5"/>
  <c r="L44" i="5"/>
  <c r="L55" i="5"/>
  <c r="L15" i="5"/>
  <c r="L52" i="5"/>
  <c r="L69" i="5"/>
  <c r="L28" i="5"/>
  <c r="L58" i="5"/>
  <c r="L66" i="5"/>
  <c r="L3" i="5"/>
  <c r="L75" i="5"/>
  <c r="L76" i="5"/>
  <c r="L33" i="5"/>
  <c r="L54" i="5"/>
  <c r="L8" i="5"/>
  <c r="L77" i="5"/>
  <c r="L78" i="5"/>
  <c r="L27" i="5"/>
  <c r="L56" i="5"/>
  <c r="L6" i="5"/>
  <c r="L70" i="5"/>
  <c r="L45" i="5"/>
  <c r="L20" i="5"/>
  <c r="L14" i="5"/>
  <c r="L63" i="5"/>
  <c r="L41" i="5"/>
  <c r="L51" i="5"/>
  <c r="L32" i="5"/>
  <c r="L16" i="5"/>
  <c r="L11" i="5"/>
  <c r="L17" i="5"/>
  <c r="L42" i="5"/>
  <c r="L39" i="5"/>
  <c r="L64" i="5"/>
  <c r="A81" i="5"/>
  <c r="H81" i="5"/>
  <c r="E7" i="2" s="1"/>
  <c r="F81" i="5"/>
  <c r="I7" i="2" s="1"/>
  <c r="C81" i="5"/>
  <c r="L35" i="5"/>
  <c r="L10" i="5"/>
  <c r="L31" i="5"/>
  <c r="L4" i="5"/>
  <c r="L29" i="5"/>
  <c r="L67" i="5"/>
  <c r="L72" i="5"/>
  <c r="L50" i="5"/>
  <c r="H62" i="1"/>
  <c r="L53" i="1"/>
  <c r="D6" i="2"/>
  <c r="L13" i="3"/>
  <c r="L14" i="3"/>
  <c r="L20" i="3"/>
  <c r="L4" i="3"/>
  <c r="L16" i="3"/>
  <c r="L2" i="3"/>
  <c r="L11" i="3"/>
  <c r="L12" i="3"/>
  <c r="L19" i="3"/>
  <c r="L8" i="3"/>
  <c r="L15" i="3"/>
  <c r="L6" i="3"/>
  <c r="L10" i="3"/>
  <c r="L9" i="3"/>
  <c r="L18" i="3"/>
  <c r="L5" i="3"/>
  <c r="L17" i="3"/>
  <c r="L7" i="3"/>
  <c r="L3" i="3"/>
  <c r="H22" i="3"/>
  <c r="E6" i="2" s="1"/>
  <c r="F22" i="3"/>
  <c r="I6" i="2" s="1"/>
  <c r="C22" i="3"/>
  <c r="G6" i="2" s="1"/>
  <c r="A22" i="3"/>
  <c r="E62" i="1"/>
  <c r="D12" i="2" l="1"/>
  <c r="E12" i="2"/>
  <c r="F12" i="2" s="1"/>
  <c r="G12" i="2"/>
  <c r="E14" i="2"/>
  <c r="F14" i="2" s="1"/>
  <c r="F13" i="2"/>
  <c r="F9" i="2"/>
  <c r="E20" i="13"/>
  <c r="H13" i="2" s="1"/>
  <c r="L2" i="13"/>
  <c r="L20" i="13"/>
  <c r="L25" i="12"/>
  <c r="L2" i="11"/>
  <c r="L5" i="11"/>
  <c r="F10" i="2"/>
  <c r="L12" i="9"/>
  <c r="G14" i="9"/>
  <c r="J10" i="2" s="1"/>
  <c r="L14" i="9"/>
  <c r="F8" i="2"/>
  <c r="F6" i="2"/>
  <c r="F7" i="2"/>
  <c r="G26" i="7"/>
  <c r="J8" i="2" s="1"/>
  <c r="L26" i="7"/>
  <c r="G81" i="5"/>
  <c r="J7" i="2" s="1"/>
  <c r="E81" i="5"/>
  <c r="H7" i="2" s="1"/>
  <c r="L81" i="5"/>
  <c r="G22" i="3"/>
  <c r="J6" i="2" s="1"/>
  <c r="E22" i="3"/>
  <c r="H6" i="2" s="1"/>
  <c r="L22" i="3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4" i="1"/>
  <c r="L55" i="1"/>
  <c r="L56" i="1"/>
  <c r="L57" i="1"/>
  <c r="L58" i="1"/>
  <c r="L59" i="1"/>
  <c r="L6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H5" i="2"/>
  <c r="C62" i="1"/>
  <c r="G5" i="11" l="1"/>
  <c r="J11" i="2" s="1"/>
  <c r="H15" i="2"/>
  <c r="G62" i="1"/>
  <c r="L62" i="1"/>
  <c r="E5" i="2"/>
  <c r="A62" i="1"/>
  <c r="D5" i="2" s="1"/>
  <c r="F5" i="2" l="1"/>
  <c r="D15" i="2"/>
  <c r="E15" i="2"/>
  <c r="F15" i="2" l="1"/>
  <c r="G5" i="2"/>
  <c r="G15" i="2" s="1"/>
  <c r="F62" i="1"/>
  <c r="I5" i="2" s="1"/>
  <c r="I15" i="2" s="1"/>
  <c r="J5" i="2" l="1"/>
  <c r="J15" i="2" s="1"/>
  <c r="J16" i="2" s="1"/>
  <c r="J17" i="2" s="1"/>
  <c r="J18" i="2" s="1"/>
  <c r="J19" i="2" s="1"/>
</calcChain>
</file>

<file path=xl/sharedStrings.xml><?xml version="1.0" encoding="utf-8"?>
<sst xmlns="http://schemas.openxmlformats.org/spreadsheetml/2006/main" count="629" uniqueCount="262">
  <si>
    <t>Title</t>
  </si>
  <si>
    <t>Hammer Price</t>
  </si>
  <si>
    <t>Payout Status</t>
  </si>
  <si>
    <t>Sale Date</t>
  </si>
  <si>
    <t>Bids</t>
  </si>
  <si>
    <t>Split</t>
  </si>
  <si>
    <t>Ended</t>
  </si>
  <si>
    <t>Total Hammer Price</t>
  </si>
  <si>
    <t>TOTALS</t>
  </si>
  <si>
    <t>CGC Auth Fee Total</t>
  </si>
  <si>
    <t>CGC Auth. Fee</t>
  </si>
  <si>
    <t>No. Lots</t>
  </si>
  <si>
    <t>Lots Paid</t>
  </si>
  <si>
    <t>Weekly Auction</t>
  </si>
  <si>
    <t>Auction Type</t>
  </si>
  <si>
    <t>Lot No.</t>
  </si>
  <si>
    <t>2021 Panini One And One Timeless Moments Purple Nikola Jokic AUTO /35 #TM-NJK</t>
  </si>
  <si>
    <t>2024 Panini One And One Orange Bronny James Jr. ROOKIE /49 #108</t>
  </si>
  <si>
    <t>2021 Select Black Snakeskin Pulsar Bones Hyland ROOKIE PATCH AUTO 1/1 #RJ-BHY CGC AUTH</t>
  </si>
  <si>
    <t>2024 Panini Flawless Framework Emerald Isiah Thomas AUTO /5 #FRM-IST CGC AUTH</t>
  </si>
  <si>
    <t>2025 Panini The National VIP Hello Cracked Ice Caitlin Clark /45 #CC CGC AUTH</t>
  </si>
  <si>
    <t>2025 Topps Sole Ambition Stephen Curry #SA-3 CGC AUTH</t>
  </si>
  <si>
    <t>2025 Topps Sole Ambition LeBron James #SA-1 CGC AUTH</t>
  </si>
  <si>
    <t>2025 Panini The National VIP Gold Giannis Antetokounmpo /10 #22 CGC AUTH</t>
  </si>
  <si>
    <t>2024 Topps Chrome UEFA CC Gold Refractor Antoine Griezmann AUTO /50 CGC AUTH</t>
  </si>
  <si>
    <t>2021 Panini Instant Clear Vision Evan Mobley ROOKIE PATCH AUTO 10/10 #CV-3</t>
  </si>
  <si>
    <t>2022 Panini Court Kings Heir Apparent Ruby Jalen Williams ROOKIE AUTO /99 #HA-JWT CGC AUTH</t>
  </si>
  <si>
    <t>2022 Immaculate Collection Immaculate Ink Steve Kerr AUTO /99 #II-SKR CGC AUTH</t>
  </si>
  <si>
    <t>2024 Immaculate Collection Immaculate Ink Gold John Stockton AUTO 10/10 #INK-JST CGC AUTH</t>
  </si>
  <si>
    <t>2024 Panini Mosaic Elevate White Fluorescent Victor Wembanyama /10 #11 CGC AUTH</t>
  </si>
  <si>
    <t>2024 Panini Origins Origin Stories Green Stephen Curry /5 #4 CGC AUTH</t>
  </si>
  <si>
    <t>2021 Panini Eminence Jumbo Gold Ja Morant PATCH AUTO 1/5 #JPA-JAM</t>
  </si>
  <si>
    <t>2025 Topps All Kings Vladimir Guerrero Jr. #AK-10 CGC AUTH</t>
  </si>
  <si>
    <t>2024 Topps Transcendent Collection Showcase Blue Paul Skenes ROOKIE AUTO /10 #RSA-PS</t>
  </si>
  <si>
    <t>2022 National Treasures Treasured Moments '25 Black Box Stephen Curry AUTO 1/1 #TM-SCY</t>
  </si>
  <si>
    <t>2024 Panini Noir Color Holo Gold Jared McCain ROOKIE PATCH AUTO /25 #360 CGC AUTH</t>
  </si>
  <si>
    <t>2024 Panini One And One Jumbo Red Jared McCain ROOKIE PATCH AUTO /25 #RJJ-JAR</t>
  </si>
  <si>
    <t>2024 Panini Flawless Prime Sapphire Bobby Witt Jr. PATCH AUTO /15 #PPH-BWJ</t>
  </si>
  <si>
    <t>2024 Panini Silhouette NBA Cup FOTL Red Stephen Curry AUTO 1/7 #CUP-CUR</t>
  </si>
  <si>
    <t>2024 Panini The National VIP Diamond Gems Charles Barkley 1/1 #CB</t>
  </si>
  <si>
    <t>2020 National Treasures Colossal White Box Tyrese Maxey ROOKIE PATCH AUTO 1/1 #CM-TMX</t>
  </si>
  <si>
    <t>2024 Immaculate Collection Blue Jared McCain ROOKIE PATCH AUTO /49 #122 CGC AUTH</t>
  </si>
  <si>
    <t>2024 Panini One And One Jared McCain ROOKIE PATCH AUTO /99 #RJA-JAR</t>
  </si>
  <si>
    <t>2021 Panini One And One Red Alperen Sengun ROOKIE PATCH AUTO 25/25 #RJ-ASG</t>
  </si>
  <si>
    <t>2025 Panini The National VIP Wave Nikola Jokic AUTO /10 #20 CGC AUTH</t>
  </si>
  <si>
    <t>2025 Topps '80-81 Silver Pack Gold Tracy McGrady AUTO /50 #80CA2-TMC CGC AUTH</t>
  </si>
  <si>
    <t>2025 Bowman Chrome Mega Box Purple Refractor Jesus Made PROSPECT AUTO /199 #BMA-JM</t>
  </si>
  <si>
    <t>2022 Panini Flawless Collegiate Prime Gold Jabari Smith Jr. ROOKIE PATCH AUTO /10 #PM-JSM</t>
  </si>
  <si>
    <t>2023 Panini One And One Green Jalen Johnson 5/5 #2</t>
  </si>
  <si>
    <t>2023 Topps Three Triple Gold Mikal Bridges PATCH AUTO 10/10 #TRA-MB</t>
  </si>
  <si>
    <t>2025 Leaf Vivid Sports Prismatic Black Cameron Boozer AUTO 1/1 #VS-CB2 CGC AUTH</t>
  </si>
  <si>
    <t>2024 Select FIFA Equalizers Pink Lamine Yamal /25 #17 CGC AUTH</t>
  </si>
  <si>
    <t>2024 Panini Flawless Leaders Diamond Gems Gold Kevin Garnett /5 #169</t>
  </si>
  <si>
    <t>2020 Panini Spectra Astral Prizm Tyrese Maxey ROOKIE PATCH AUTO 35/35 #204</t>
  </si>
  <si>
    <t>2024 Panini Prizm Black Prizmatrix Gold Shimmer Luka Doncic AUTO 1/10 #PS-LUK</t>
  </si>
  <si>
    <t>2025 Leaf Metal Independence Day Patriotic Marine Corps War Memorial Cameron Boozer RC AUTO 1/1</t>
  </si>
  <si>
    <t>2024 Panini One And One Of A Kind Green Damian Lillard AUTO /5 #OK-LIL</t>
  </si>
  <si>
    <t>2024 Immaculate Collection Modern Marks Silver Luis Suarez AUTO /25 #MM-LS CGC AUTH</t>
  </si>
  <si>
    <t>2023 Topps Dynasty Silver Vladimir Guerrero Jr. PATCH AUTO /5 #DAPB-VGJ1</t>
  </si>
  <si>
    <t>2024 Immaculate Collection The Standard Gold Christian Pulisic PATCH 1/10 #TS-CP CGC AUTH</t>
  </si>
  <si>
    <t>2012 Panini Signatures Red Yao Ming AUTO /10 #200 CGC AUTH</t>
  </si>
  <si>
    <t>2022 Panini Flawless Collegiate Star Swatch Jaren Jackson Jr. PATCH AUTO /25 #SS-JJJ</t>
  </si>
  <si>
    <t>2021 Immaculate Collection Massive Memorabilia Cade Cunningham ROOKIE PATCH 25/25 CGC AUTH</t>
  </si>
  <si>
    <t>2024 Panini Flawless All-NBA Diamond Gems Luka Doncic /10 #182</t>
  </si>
  <si>
    <t>2025 Topps Tier One Jumbo Ronald Acuna Jr. PATCH AUTO /75 #AJR-RA CGC AUTH</t>
  </si>
  <si>
    <t>2021 National Treasures Evan Mobley ROOKIE PATCH AUTO /99 #RMD-EVM CGC AUTH</t>
  </si>
  <si>
    <t>2024 Immaculate Collection Dual Bronny James Jr. LeBron James PATCH /99 #IDM-BJJ CGC AUTH</t>
  </si>
  <si>
    <t>2022 Immaculate Collection Collegiate Red Chet Holmgren ROOKIE PATCH AUTO /15 #34 CGC AUTH</t>
  </si>
  <si>
    <t>2022 National Treasures Clutch Factor '25 Black Box Paolo Banchero ROOKIE PATCH AUTO 1/1</t>
  </si>
  <si>
    <t>2019 Crown Royale Silhouettes '22 Black Box Tyler Herro ROOKIE PATCH AUTO 1/1 #132</t>
  </si>
  <si>
    <t>2021 Panini Flawless Draft Gem Luka Doncic AUTO /25 #DGS-LDD</t>
  </si>
  <si>
    <t>2019 Panini One And One 1st Team '25 Black Box Nikola Jokic AUTO 1/1 #FT-NJK</t>
  </si>
  <si>
    <t>2020 National Treasures Horizontal '25 Black Box Tyrese Maxey ROOKIE PATCH AUTO 1/1 #114</t>
  </si>
  <si>
    <t>2022 Panini One And One Purple Paolo Banchero ROOKIE PATCH AUTO 35/35 #RJA-PB5</t>
  </si>
  <si>
    <t>2024 National Treasures Orange Ajay Mitchell ROOKIE PATCH AUTO /75 #148 CGC AUTH</t>
  </si>
  <si>
    <t>JZ Net Proceeds</t>
  </si>
  <si>
    <t>Payment Complete</t>
  </si>
  <si>
    <t>JZ Gross Proceeds</t>
  </si>
  <si>
    <t>WH Net</t>
  </si>
  <si>
    <t>2024 Bowman University Best Greatness Awaits Gold Geometric Kon Knueppel RC AUTO /50 CGC AUTH</t>
  </si>
  <si>
    <t>2020 National Treasures Daniel Oturu ROOKIE NBA LOGOMAN PATCH 1/5 #RLO-DOT CGC AUTH</t>
  </si>
  <si>
    <t>2025 Panini The National VIP Wave Yao Ming AUTO 1/1 #19 CGC AUTH</t>
  </si>
  <si>
    <t>2024 National Treasures Silver NBA Logos Kevin Durant RELIC /10 #49 CGC AUTH</t>
  </si>
  <si>
    <t>2024 National Treasures Quad Jared McCain ROOKIE PATCH AUTO /99 #RMQ-MCC CGC AUTH</t>
  </si>
  <si>
    <t>2025 Topps Chrome Chromographs Orange Refractor Jalen Williams AUTO /25 #CH-JW CGC AUTH</t>
  </si>
  <si>
    <t>2024 Panini One And One Jared McCain ROOKIE AUTO /99 #RA-JAR</t>
  </si>
  <si>
    <t>2023 Panini Flawless Excellence Blue Donovan Mitchell AUTO /8 #ES-DMI CGC AUTH</t>
  </si>
  <si>
    <t>2024 Immaculate Collection Chet Holmgren PATCH AUTO /15 #IRP-HOL CGC AUTH</t>
  </si>
  <si>
    <t>2024 Panini Prizm Deca Gold Shimmer FOTL Shaedon Sharpe AUTO /10 #PDS-SHA CGC AUTH</t>
  </si>
  <si>
    <t>2024 Bowman University Best Possession Arrow Yellow Lazer Kon Knueppel AUTO /75 #PAAKK CGC AUTH</t>
  </si>
  <si>
    <t>2024 Select Score Select Throwback Tie-Dye Victor Wembanyama /25 #2 CGC AUTH</t>
  </si>
  <si>
    <t>2014 Panini Threads Prime Joel Embiid ROOKIE PATCH AUTO 25/25 #3 CGC AUTH</t>
  </si>
  <si>
    <t>2025 Topps All Kings Egor Demin ROOKIE #AK-23 CGC AUTH</t>
  </si>
  <si>
    <t>2025 Panini The National VIP Memorabilia Gold Larry Bird PATCH /10 #15 CGC AUTH</t>
  </si>
  <si>
    <t>2025 Topps Holiday Red Glitter Ronald Acuna Jr. AUTO 1/10 #PA-RA CGC AUTH</t>
  </si>
  <si>
    <t>2022 Bowman Chrome University Victor Wembanyama ROOKIE #101 CGC AUTH</t>
  </si>
  <si>
    <t>2025 Panini The National VIP Blue Cracked Ice Caitlin Clark /75 #CC CGC AUTH</t>
  </si>
  <si>
    <t>2023 Topps Three Rain Drops Platinum Tyrese Maxey AUTO 1/1 #RS-TM</t>
  </si>
  <si>
    <t>Cancelled - Unpaid</t>
  </si>
  <si>
    <t>% Complete</t>
  </si>
  <si>
    <t>2023 National Treasures Pink Anthony Edwards 15/15 #93 CGC AUTH</t>
  </si>
  <si>
    <t>2025 Panini The National VIP Red Cracked Ice Aaron Judge /99 #43 CGC AUTH</t>
  </si>
  <si>
    <t>2024 Immaculate Collection Sophisticated Ruby Carlos Vela AUTO JERSEY # 11/30 #SS-CVE CGC AUTH</t>
  </si>
  <si>
    <t>2024 National Treasures Gold Orelvis Martinez ROOKIE PATCH AUTO 49/49 #PMS-OM CGC AUTH</t>
  </si>
  <si>
    <t>2025 Topps Chrome Red White &amp; Blue Refractor Stephon Castle #228 CGC AUTH</t>
  </si>
  <si>
    <t>2025 Topps Chrome Sky Write Orange Geometric Refractor Ajay Mitchell AUTO /25 #SWS-AM CGC AUTH</t>
  </si>
  <si>
    <t>2002 Topps Xpectations Yao Ming AUTO #XA-YM CGC AUTH</t>
  </si>
  <si>
    <t>2024 Donruss Optic Blue Glitter Yao Ming JERSEY # 11/15 #226 CGC AUTH</t>
  </si>
  <si>
    <t>2025 Panini Impeccable Elegance Holo Gold Kyle Teel ROOKIE PATCH AUTO JERSEY # 8/10 CGC AUTH</t>
  </si>
  <si>
    <t>2023 Panini Black Memorabilia Ruby FOTL Vasilije Micic ROOKIE PATCH AUTO 1/15 #RJA-VM CGC AUTH</t>
  </si>
  <si>
    <t>2024 Bowman Chrome Draft Black Refractor Sam Antonacci PROSPECT AUTO 1/10 #CPA-SA CGC AUTH</t>
  </si>
  <si>
    <t>2022 Immaculate Collection Scorers Club Hakeem Olajuwon AUTO /49 #SCS-HOW CGC AUTH</t>
  </si>
  <si>
    <t>2024 Panini Obsidian Trailblazer Electric Etch Molten Mojo OG Anunoby AUTO /10 #TA-OGA CGC AUTH</t>
  </si>
  <si>
    <t>2023 Topps Merlin UEFA CC Yellow Shimmer Refractor Jude Bellingham /175 #105 CGC AUTH</t>
  </si>
  <si>
    <t>2018 Panini The National VIP Prizm Cristiano Ronaldo /99 #94 PSA 10 GEM MINT</t>
  </si>
  <si>
    <t>2025 Leaf Baseball Nation MILB Top 100 Pink Sparkle Trey Yesavage ROOKIE AUTO 1/1 CGC AUTH</t>
  </si>
  <si>
    <t>2025 Finest Gold Refractor Angel Martinez ROOKIE RELIC AUTO /50 #RAJR-AM CGC AUTH</t>
  </si>
  <si>
    <t>2025 Topps '80-81 Gold Rainbow Foil Adou Thiero ROOKIE AUTO /50 #80B2R-AT CGC AUTH</t>
  </si>
  <si>
    <t>2025 Topps Chrome Youthquake Refractor Cooper Flagg ROOKIE #YQ-1 CGC AUTH</t>
  </si>
  <si>
    <t>2025 Topps Chrome Issue Noa Essengue ROOKIE AUTO #TAIR-NE CGC AUTH</t>
  </si>
  <si>
    <t>2025 Topps Chrome Blue Refractor Will Riley ROOKIE AUTO /150 #TCAR-WR CGC AUTH</t>
  </si>
  <si>
    <t>2015 Select Copper Jeremy Lin /49 #291 CGC AUTH</t>
  </si>
  <si>
    <t>2025 Topps Chrome Style Black Geometric Refractor Bogdan Bogdanovic AUTO /10 #SS-BOG CGC AUTH</t>
  </si>
  <si>
    <t>2024 Panini The National VIP National Mickey Mantle /44 #42 CGC AUTH</t>
  </si>
  <si>
    <t>2024 Panini Photogenic Diamond Matas Buzelis ROOKIE AUTO 1/75 #RA-BUZ CGC AUTH</t>
  </si>
  <si>
    <t>2024 Donruss Optic Splash! Lime Green LeBron James /199 #5 CGC AUTH</t>
  </si>
  <si>
    <t>2024 Panini Obsidian Volcanix Luka Doncic #20 CGC AUTH</t>
  </si>
  <si>
    <t>2024 Topps Chrome Red Geometric Refractor Dwyane Wade 5/5 #13 CGC AUTH</t>
  </si>
  <si>
    <t>2025 Topps Chrome Xfractor Stephen Curry #201 CGC AUTH</t>
  </si>
  <si>
    <t>2022 Select FIFA Memorabilia Green Rafael Santos Borre PATCH AUTO /5 #AM-RSB CGC AUTH</t>
  </si>
  <si>
    <t>2024 Panini Flawless Emerald Dalton Rushing ROOKIE PATCH AUTO /5 #PPA-DR CGC AUTH</t>
  </si>
  <si>
    <t>2024 Bowman Chrome Draft Orange Wave Refractor Kavares Tears PROSPECT AUTO /25 #CPA-KT CGC AUTH</t>
  </si>
  <si>
    <t>2025 Topps Season Tip-Off Green Josh Hart /99 #16 CGC AUTH</t>
  </si>
  <si>
    <t>2023 Topps Chrome '72 Black Wave Refractor Maurice Cheeks AUTO /10 #TA-MC CGC AUTH</t>
  </si>
  <si>
    <t>2024 Panini The National VIP Julius Erving /44 #28 CGC AUTH</t>
  </si>
  <si>
    <t>2024 Select Concourse Blue Scope LeBron James /249 #54 CGC AUTH</t>
  </si>
  <si>
    <t>2010 Crown Royale National Convention VIP Kobe Bryant #VIP1 CGC AUTH</t>
  </si>
  <si>
    <t>2025 Topps Chrome Patented Stephen Curry #PD-2 CGC AUTH</t>
  </si>
  <si>
    <t>2024 Topps Chrome UFC Blue Shara Magomedov ROOKIE AUTO DNA 10 /150 #141 PSA 9 MINT</t>
  </si>
  <si>
    <t>2024 Topps Chrome UFC Purple Shara Magomedov ROOKIE AUTO DNA 9 #141 PSA 9 MINT</t>
  </si>
  <si>
    <t>2025 Topps Chrome Rock Stars Die-Cut Ace Bailey ROOKIE #RS-20 CGC AUTH</t>
  </si>
  <si>
    <t>2024 Panini Prizm Draft Picks Rated Orange Ice VJ Edgecombe ROOKIE #17 CGC AUTH</t>
  </si>
  <si>
    <t>2024 Panini Prizm Draft Picks Rated Prospect Purple Wave VJ Edgecombe ROOKIE #17 CGC AUTH</t>
  </si>
  <si>
    <t>2024 Panini Prizm Draft Picks Rated Prospect Orange Ice VJ Edgecombe ROOKIE #17 CGC AUTH</t>
  </si>
  <si>
    <t>2024 Immaculate Collection FOTL Devin Booker /11 #85 CGC AUTH</t>
  </si>
  <si>
    <t>2021 Panini Revolution Impact Alperen Sengun ROOKIE /149 #149 CGC AUTH</t>
  </si>
  <si>
    <t>2025 Topps Chrome Red White &amp; Blue Refractor Kon Knueppel ROOKIE #254 CGC AUTH</t>
  </si>
  <si>
    <t>2025 Topps Chrome Cooper Flagg ROOKIE #251 CGC AUTH</t>
  </si>
  <si>
    <t>2025 Topps Chrome Sky Write Black Geometric Refractor Ayo Dosunmu AUTO 1/10 #SWS-AD CGC AUTH</t>
  </si>
  <si>
    <t>2014 Topps Tribute Pastime Orange Ben Zobrist AUTO /40 #TPT-BZ CGC AUTH</t>
  </si>
  <si>
    <t>2021 Panini Obsidian Magnitude Evan Mobley ROOKIE /99 #17 CGC AUTH</t>
  </si>
  <si>
    <t>2021 Leaf Metal Draft Portrait Gold Crystal DeVonta Smith ROOKIE AUTO 1/1 #PA-DS2 CGC AUTH</t>
  </si>
  <si>
    <t>2023 Topps Five Star Silver Signatures Orange Rhys Hoskins AUTO 1/5 #SS-RH CGC AUTH</t>
  </si>
  <si>
    <t>2025 Topps Chrome '80-81 Silver Pack Orange Will Riley ROOKIE AUTO /25 #80CR2-WR CGC AUTH</t>
  </si>
  <si>
    <t>2024 Topps Reverence UEFA Club Competitions Orange Kjell Watjen /25 ROOKIE PATCH CGC AUTH</t>
  </si>
  <si>
    <t>2024 Topps Paris Saint Germain Blue Lucas Hernandez AUTO /250 #AU-LH CGC AUTH</t>
  </si>
  <si>
    <t>2024 Panini Mosaic Fast Break Gold Joel Embiid /10 #152 CGC AUTH</t>
  </si>
  <si>
    <t>2025 Topps Chrome Orange Geometric Refractor Walter Clayton Jr. ROOKIE AUTO /25 CGC AUTH</t>
  </si>
  <si>
    <t>2024 Panini Photogenic Dual Gold Yuki Kawamura &amp; Yongxi Cui ROOKIE AUTO JERSEY # 8/10 CGC AUTH</t>
  </si>
  <si>
    <t>2024 Leaf Collective Promos Metal Green Shimmer Lamine Yamal /50 #LB-4 CGC AUTH</t>
  </si>
  <si>
    <t>2021 Absolute Jumbo Cleats Kenneth Gainwell ROOKIE PATCH /5 #JUM-KGA CGC AUTH</t>
  </si>
  <si>
    <t>2024 Bowman University Best Arrow Orange Mini Diamond Ref Aneesah Morrow RC AUTO /25 CGC AUTH</t>
  </si>
  <si>
    <t>2025 Panini The National VIP Blue Cracked Ice Aaron Judge /75 #43 CGC AUTH</t>
  </si>
  <si>
    <t>2024 Select Signature Memorabilia Dallas Goedert PATCH AUTO /199 #SM-DGT CGC AUTH</t>
  </si>
  <si>
    <t>2024 Panini Flawless Legendary Scripts Gold Metta World Peace AUTO #LSC-MWP CGC AUTH</t>
  </si>
  <si>
    <t>2024 Immaculate Collection Modern Marks Ausar Thompson AUTO /99 #MM-AST CGC AUTH</t>
  </si>
  <si>
    <t>2025 Topps Chrome Xfractor VJ Edgecombe ROOKIE #253 CGC AUTH</t>
  </si>
  <si>
    <t>2023 Panini Court Kings Water Color Sapphire Anthony Edwards JERSEY # 5/25 #6 PSA 9 MINT</t>
  </si>
  <si>
    <t>2020 Immaculate Collection Remarkable Dual Anthony Edwards James Wiseman RC PATCH /75 CGC AUTH</t>
  </si>
  <si>
    <t>2023 Immaculate Collection Sophisticated Red Latrell Sprewell AUTO /25 #SSS-LSN CGC AUTH</t>
  </si>
  <si>
    <t>2024 Topps Class Veteran Gold Donovan McNabb AUTO /10 #VCA-DMC CGC AUTH</t>
  </si>
  <si>
    <t>2024 Bowman Chrome University Black &amp; Gold Stealth Refractor Dame Sarr ROOKIE /24 #17 CGC AUTH</t>
  </si>
  <si>
    <t>2024 Topps Chrome McDonald's AA New Hire Badge Red Ref Kayleigh Heckel RC AUTO 5/5 CGC AUTH</t>
  </si>
  <si>
    <t>2024 Panini Noir Curtain Call Yuta Watanabe AUTO /15 #CC-YWB CGC AUTH</t>
  </si>
  <si>
    <t>2023 Panini Illusions Trophy Collection Red Dallas Goedert AUTO /99 #86 CGC AUTH</t>
  </si>
  <si>
    <t>1969 Topps Reggie Jackson ROOKIE #260 CGC AUTH</t>
  </si>
  <si>
    <t>3 Auctions</t>
  </si>
  <si>
    <t>Payout Complete</t>
  </si>
  <si>
    <t>2025 Topps Chrome Glass Canvas Jalen Brunson #GC-17 CGC AUTH</t>
  </si>
  <si>
    <t>2025 Topps Chrome Xfractor Ace Bailey ROOKIE #255 CGC AUTH</t>
  </si>
  <si>
    <t>2024 Panini Prizm Draft Picks Rated Prospect Blue VJ Edgecombe ROOKIE /199 #17 CGC AUTH</t>
  </si>
  <si>
    <t>2024 Panini Prizm Draft Picks Rated Prospect Blue Seismic VJ Edgecombe ROOKIE /149 #17 CGC AUTH</t>
  </si>
  <si>
    <t>2025 Topps Chrome Tall Tales Green Geometric Refractor LeBron James /99 #TT-7 CGC AUTH</t>
  </si>
  <si>
    <t>2025 Leaf Signature Series Aquatic Clownfish Lava Cameron Boozer ROOKIE AUTO 1/1 #ACB3 CGC AUTH</t>
  </si>
  <si>
    <t>2024 Panini Prizm Draft Picks Rated Blue Wave VJ Edgecombe ROOKIE /249 #17 CGC AUTH</t>
  </si>
  <si>
    <t>2024 Panini Flawless Mastercraft Jayson Tatum PATCH /5 #MC-JYT CGC AUTH</t>
  </si>
  <si>
    <t>2025 Topps Chrome Red White &amp; Blue Refractor Cooper Flagg ROOKIE #251 CGC AUTH</t>
  </si>
  <si>
    <t>2025 Topps Chrome X's &amp; Whoa's Cooper Flagg ROOKIE #XW-8 CGC AUTH</t>
  </si>
  <si>
    <t>2025 Panini The National VIP Hello Cracked Ice Aaron Judge /45 #43 CGC AUTH</t>
  </si>
  <si>
    <t>2025 Topps Blackout Flash Drop LeBron James /50 #150 CGC AUTH</t>
  </si>
  <si>
    <t>2024 Topps Chrome UFC Sepia Refractor Shara Magomedov ROOKIE AUTO DNA 10 #141 PSA 10 GEM MINT</t>
  </si>
  <si>
    <t>2017 Donruss Optic Stephen Curry #46 PSA 10 GEM MINT</t>
  </si>
  <si>
    <t>2024 Topps Chrome UFC Refractor Shara Magomedov ROOKIE AUTO #141 PSA 9 MINT</t>
  </si>
  <si>
    <t>2025 Topps Chrome Geometric Refractor Will Riley ROOKIE AUTO #TCAR-WR CGC AUTH</t>
  </si>
  <si>
    <t>2024 Panini Prizm Black Blue Shimmer FOTL Yao Ming /35 #264 CGC AUTH</t>
  </si>
  <si>
    <t>2024 Panini Obsidian Cutting Edge Electric Etch Orange Flood Stephen Curry PATCH /99 CGC AUTH</t>
  </si>
  <si>
    <t>2025 Topps Chrome Issue Ace Bailey ROOKIE AUTO #TAIR-AB CGC AUTH</t>
  </si>
  <si>
    <t>2025 Topps Rainbow Foil VJ Edgecombe ROOKIE #203 CGC AUTH</t>
  </si>
  <si>
    <t>2025 Bowman Chrome Yellow Refractor Charlie Condon PROSPECT AUTO /75 #CPA-CC CGC AUTH</t>
  </si>
  <si>
    <t>2025 Topps Archives Aqua Scope Foilboard Roki Sasaki ROOKIE /75 #200 CGC AUTH</t>
  </si>
  <si>
    <t>2024 Topps Heritage Chrome Hot Box Refractor Ronald Acuna Jr. ERROR #321 CGC AUTH</t>
  </si>
  <si>
    <t>2025 Topps Heritage Chrome Gold Border Refractor Elly De La Cruz 1/50 #263 CGC AUTH</t>
  </si>
  <si>
    <t>2019 Topps Chrome Vladimir Guerrero Jr. ROOKIE #201 CGC AUTH</t>
  </si>
  <si>
    <t>2025 Topps Chrome Update All-Star Game Gold Refractor Elly De La Cruz /50 #ASGC-32 CGC AUTH</t>
  </si>
  <si>
    <t>2025 Bowman Chrome Yellow Refractor Mike Trout /75 #27 CGC AUTH</t>
  </si>
  <si>
    <t>2025 Topps All Team Shohei Ohtani #ATT-3 CGC AUTH</t>
  </si>
  <si>
    <t>2025 Topps Chrome Gold Wave Refractor Chet Holmgren /50 #134 CGC AUTH</t>
  </si>
  <si>
    <t>2024 Immaculate Collection Pink Chet Holmgren 15/15 #20 CGC AUTH</t>
  </si>
  <si>
    <t>2025 Panini The National VIP Tiger Stripes Paul Skenes #42 CGC AUTH</t>
  </si>
  <si>
    <t>2024 Leaf Collective Press Pass Light Blue Shimmer Vladimir Guerrero AUTO 10/10 CGC AUTH</t>
  </si>
  <si>
    <t>2019 Panini Chronicles Contenders Season Ticket Red Vladimir Guerrero Jr. RC AUTO /50 CGC AUTH</t>
  </si>
  <si>
    <t>2024 Donruss Optic Black Pandora Rob Dillingham ROOKIE /15 #259 CGC AUTH</t>
  </si>
  <si>
    <t>2019 Panini Flawless Collegiate Gold Tyler Herro ROOKIE PATCH 10/10 #24 CGC AUTH</t>
  </si>
  <si>
    <t>2024 Immaculate Collection Premium Jared McCain ROOKIE PATCH AUTO /50 #PPA-JMC CGC AUTH</t>
  </si>
  <si>
    <t>2024 Panini Origins Elevation Red Jared McCain ROOKIE AUTO /49 #ES-JAR CGC AUTH</t>
  </si>
  <si>
    <t>2024 Immaculate Collection Materials LaMelo Ball PATCH /99 #MAT-LMB CGC AUTH</t>
  </si>
  <si>
    <t>2024 Immaculate Collection Standout Memorabilia Jalen Williams PATCH /99 #SM-JLN CGC AUTH</t>
  </si>
  <si>
    <t>2024 Donruss Optic Choice Blue Cade Cunningham /24 #26 CGC AUTH</t>
  </si>
  <si>
    <t>2024 Panini Flawless Dereck Lively II PATCH AUTO /25 #FPA-DLM CGC AUTH</t>
  </si>
  <si>
    <t>2024 Immaculate Collection Jared McCain ROOKIE PATCH AUTO /99 #122 CGC AUTH</t>
  </si>
  <si>
    <t>2024 Panini Photogenic In Motion Groovy Jared McCain ROOKIE /35 #2 CGC AUTH</t>
  </si>
  <si>
    <t>2023 Finest Masters Gold Geometric Refractor Donovan Mitchell AUTO /50 #MA-DM CGC AUTH</t>
  </si>
  <si>
    <t>2024 Panini One And One FOTL Ajay Mitchell ROOKIE PATCH AUTO 1/15 #RJJ-AJY CGC AUTH</t>
  </si>
  <si>
    <t>2022 Panini Prizm Silver Alperen Sengun AUTO #SIG-ALP CGC AUTH</t>
  </si>
  <si>
    <t>2024 Immaculate Collection Sophisticated Signatures Karl-Anthony Towns AUTO /49 CGC AUTH</t>
  </si>
  <si>
    <t>2025 Topps Chrome Refractor Nikola Jokic #25 CGC AUTH</t>
  </si>
  <si>
    <t>2024 Panini Prizm Black Silver Evan Mobley AUTO #121 CGC AUTH</t>
  </si>
  <si>
    <t>2024 Hoops Premium Green Scope Nikola Jokic /25 #12 CGC AUTH</t>
  </si>
  <si>
    <t>2025 Topps Chrome Gold Geometric Refractor Jayson Tatum /50 #49 CGC AUTH</t>
  </si>
  <si>
    <t>2025 Topps Chrome Red White &amp; Blue Refractor Victor Wembanyama #221 CGC AUTH</t>
  </si>
  <si>
    <t>2025 Topps Chrome Raywave Refractor Victor Wembanyama #221 CGC AUTH</t>
  </si>
  <si>
    <t>2023 Panini Premium Stock City Edition Silver Victor Wembanyama ROOKIE #25 CGC AUTH</t>
  </si>
  <si>
    <t>2019 Panini Origins Tyler Herro ROOKIE PATCH AUTO #177 CGC AUTH</t>
  </si>
  <si>
    <t>2023 Super Glow Marvin Harrison Jr. AUTO #MHJ-1 CGC AUTH</t>
  </si>
  <si>
    <t>2025 Donruss Rated Throwback Bhayshul Tuten ROOKIE AUTO /49 #38 CGC AUTH</t>
  </si>
  <si>
    <t>2025 Topps Chrome Tall Tales Orange Refractor Nikola Jokic /25 #TT-1 CGC AUTH</t>
  </si>
  <si>
    <t>2023 Bowman University Now Caitlin Clark ROOKIE #49 PSA 10 GEM MINT</t>
  </si>
  <si>
    <t>2025 Topps Chrome Inspirational Raywave Refractor Victor Wembanyama #IP-6 CGC AUTH</t>
  </si>
  <si>
    <t>2025 Topps Chrome Gold Geometric Refractor Victor Wembanyama /50 #221 CGC AUTH</t>
  </si>
  <si>
    <t>2024 Immaculate Collection Sneaker Swatches Gold Jared McCain ROOKIE PATCH AUTO /10 CGC AUTH</t>
  </si>
  <si>
    <t>2024 Immaculate Collection Gold Jared McCain ROOKIE PATCH AUTO /10 #122 CGC AUTH</t>
  </si>
  <si>
    <t>2024 Immaculate Collection Sneaker Red Jared McCain ROOKIE PATCH AUTO /25 #SSS-JMC CGC AUTH</t>
  </si>
  <si>
    <t>2025 Topps Chrome Refractor Victor Wembanyama #221 CGC AUTH</t>
  </si>
  <si>
    <t>2024 Select Jumbo Swatches Will Shipley ROOKIE PATCH AUTO /99 #JRSS-WSY CGC AUTH</t>
  </si>
  <si>
    <t>2025 Topps Chrome Rock Stars Jayson Tatum #RS-1 CGC AUTH</t>
  </si>
  <si>
    <t>2025 Topps Chrome Xfractor Victor Wembanyama #221 CGC AUTH</t>
  </si>
  <si>
    <t>2024 Donruss Optic Jared McCain ROOKIE AUTO #313 CGC AUTH</t>
  </si>
  <si>
    <t>2019 Panini Flawless Collegiate Star Swatch Gold Donovan Mitchell PATCH AUTO /10 #17 CGC AUTH</t>
  </si>
  <si>
    <t>2024 Topps Chrome Sky Light Gold Geometric Refractor Donovan Mitchell AUTO /50 #SLS-DM CGC AUTH</t>
  </si>
  <si>
    <t>2025 Topps Chrome Loading Green Geometric Refractor Anthony Edwards /99 #LD-3 CGC AUTH</t>
  </si>
  <si>
    <t>CONSIGNOR OWED:</t>
  </si>
  <si>
    <t>Less Store Credit Used:</t>
  </si>
  <si>
    <t>Less Outbound Shipping:</t>
  </si>
  <si>
    <t>Less Previously Paid Out:</t>
  </si>
  <si>
    <t>2024 Immaculate Collection Sneaker Jared McCain ROOKIE RELIC AUTO /49 #SSS-JMC CGC AUTH</t>
  </si>
  <si>
    <t>2024 Panini Silhouette King's Court Klay Thompson Stephen Curry Kevin Durant /99 #13 CGC AUTH</t>
  </si>
  <si>
    <t>2024 Immaculate Collection Retro Premium Gold Jared McCain ROOKIE PATCH AUTO /10 CGC AUTH</t>
  </si>
  <si>
    <t>2022 Panini One And One Nikola Jokic PATCH AUTO 25/25 #JA-NJK</t>
  </si>
  <si>
    <t>2024 Topps Chrome '73 Red Geometric Refractor Tyrese Haliburton AUTO 5/5 #73TA-TH CGC AUTH</t>
  </si>
  <si>
    <t>2022 Bowman Chrome University Invicta Caitlin Clark ROOKIE #BI-15 CGC AUTH</t>
  </si>
  <si>
    <t>2023 Panini Phoenix Thrillers Green Tyrese Haliburton 1/5 #21 CGC AUTH</t>
  </si>
  <si>
    <t>2022 Panini Flawless All-NBA Ink Blue Nikola Jokic AUTO /8 #ALL-NKJ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</si>
</sst>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lightGray"/>
    </fill>
    <fill>
      <patternFill patternType="lightGray">
        <bgColor rgb="FFFF33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15" fontId="0" fillId="0" borderId="0" xfId="0" applyNumberFormat="1"/>
    <xf numFmtId="0" fontId="16" fillId="0" borderId="0" xfId="0" applyFont="1"/>
    <xf numFmtId="44" fontId="0" fillId="0" borderId="0" xfId="1" applyFont="1"/>
    <xf numFmtId="164" fontId="0" fillId="0" borderId="0" xfId="1" applyNumberFormat="1" applyFont="1"/>
    <xf numFmtId="9" fontId="0" fillId="0" borderId="0" xfId="2" applyFont="1"/>
    <xf numFmtId="44" fontId="0" fillId="0" borderId="0" xfId="1" applyFont="1" applyFill="1"/>
    <xf numFmtId="164" fontId="16" fillId="0" borderId="10" xfId="0" applyNumberFormat="1" applyFont="1" applyBorder="1"/>
    <xf numFmtId="44" fontId="16" fillId="34" borderId="10" xfId="0" applyNumberFormat="1" applyFont="1" applyFill="1" applyBorder="1"/>
    <xf numFmtId="0" fontId="18" fillId="0" borderId="0" xfId="0" applyFont="1"/>
    <xf numFmtId="0" fontId="16" fillId="33" borderId="0" xfId="0" applyFont="1" applyFill="1"/>
    <xf numFmtId="0" fontId="16" fillId="33" borderId="10" xfId="0" applyFont="1" applyFill="1" applyBorder="1"/>
    <xf numFmtId="10" fontId="16" fillId="0" borderId="10" xfId="2" applyNumberFormat="1" applyFont="1" applyFill="1" applyBorder="1"/>
    <xf numFmtId="0" fontId="17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/>
    </xf>
    <xf numFmtId="4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17" fillId="0" borderId="0" xfId="2" applyNumberFormat="1" applyFont="1"/>
    <xf numFmtId="164" fontId="0" fillId="0" borderId="0" xfId="1" applyNumberFormat="1" applyFont="1" applyBorder="1" applyAlignment="1">
      <alignment horizontal="center"/>
    </xf>
    <xf numFmtId="0" fontId="18" fillId="0" borderId="11" xfId="0" applyFont="1" applyBorder="1"/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44" fontId="16" fillId="0" borderId="11" xfId="0" applyNumberFormat="1" applyFont="1" applyBorder="1" applyAlignment="1">
      <alignment horizontal="center"/>
    </xf>
    <xf numFmtId="16" fontId="18" fillId="0" borderId="0" xfId="0" applyNumberFormat="1" applyFont="1"/>
    <xf numFmtId="165" fontId="0" fillId="0" borderId="0" xfId="2" applyNumberFormat="1" applyFont="1"/>
    <xf numFmtId="44" fontId="16" fillId="0" borderId="10" xfId="2" applyNumberFormat="1" applyFont="1" applyFill="1" applyBorder="1"/>
    <xf numFmtId="0" fontId="16" fillId="36" borderId="0" xfId="0" applyFont="1" applyFill="1"/>
    <xf numFmtId="0" fontId="13" fillId="0" borderId="0" xfId="0" applyFont="1"/>
    <xf numFmtId="0" fontId="16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44" fontId="16" fillId="36" borderId="10" xfId="0" applyNumberFormat="1" applyFont="1" applyFill="1" applyBorder="1"/>
    <xf numFmtId="8" fontId="0" fillId="0" borderId="0" xfId="0" applyNumberFormat="1"/>
    <xf numFmtId="8" fontId="17" fillId="0" borderId="0" xfId="0" applyNumberFormat="1" applyFont="1"/>
    <xf numFmtId="44" fontId="0" fillId="0" borderId="0" xfId="2" applyNumberFormat="1" applyFont="1" applyBorder="1" applyAlignment="1">
      <alignment horizontal="center"/>
    </xf>
    <xf numFmtId="0" fontId="0" fillId="37" borderId="0" xfId="0" applyFill="1" applyAlignment="1">
      <alignment horizontal="left"/>
    </xf>
    <xf numFmtId="0" fontId="0" fillId="37" borderId="0" xfId="0" applyFill="1"/>
    <xf numFmtId="44" fontId="0" fillId="37" borderId="0" xfId="1" applyFont="1" applyFill="1"/>
    <xf numFmtId="9" fontId="0" fillId="37" borderId="0" xfId="2" applyFont="1" applyFill="1"/>
    <xf numFmtId="164" fontId="0" fillId="37" borderId="0" xfId="1" applyNumberFormat="1" applyFont="1" applyFill="1"/>
    <xf numFmtId="0" fontId="17" fillId="38" borderId="0" xfId="0" applyFont="1" applyFill="1"/>
    <xf numFmtId="15" fontId="0" fillId="37" borderId="0" xfId="0" applyNumberFormat="1" applyFill="1"/>
    <xf numFmtId="0" fontId="17" fillId="37" borderId="0" xfId="0" applyFont="1" applyFill="1"/>
    <xf numFmtId="44" fontId="16" fillId="39" borderId="0" xfId="0" applyNumberFormat="1" applyFont="1" applyFill="1" applyAlignment="1">
      <alignment horizontal="center"/>
    </xf>
    <xf numFmtId="165" fontId="0" fillId="0" borderId="0" xfId="2" applyNumberFormat="1" applyFont="1" applyFill="1"/>
    <xf numFmtId="164" fontId="0" fillId="0" borderId="0" xfId="1" applyNumberFormat="1" applyFont="1" applyFill="1"/>
    <xf numFmtId="9" fontId="0" fillId="0" borderId="0" xfId="2" applyFont="1" applyFill="1"/>
    <xf numFmtId="44" fontId="0" fillId="0" borderId="0" xfId="1" applyFont="1" applyAlignment="1">
      <alignment horizontal="center"/>
    </xf>
    <xf numFmtId="44" fontId="16" fillId="40" borderId="12" xfId="0" applyNumberFormat="1" applyFont="1" applyFill="1" applyBorder="1" applyAlignment="1">
      <alignment horizontal="center"/>
    </xf>
    <xf numFmtId="164" fontId="16" fillId="40" borderId="0" xfId="1" applyNumberFormat="1" applyFont="1" applyFill="1" applyBorder="1" applyAlignment="1">
      <alignment horizontal="center"/>
    </xf>
    <xf numFmtId="44" fontId="16" fillId="40" borderId="0" xfId="2" applyNumberFormat="1" applyFont="1" applyFill="1" applyBorder="1" applyAlignment="1">
      <alignment horizontal="center"/>
    </xf>
    <xf numFmtId="44" fontId="16" fillId="35" borderId="0" xfId="0" applyNumberFormat="1" applyFont="1" applyFill="1" applyAlignment="1">
      <alignment horizontal="center"/>
    </xf>
    <xf numFmtId="164" fontId="20" fillId="0" borderId="0" xfId="1" applyNumberFormat="1" applyFont="1" applyAlignment="1">
      <alignment horizontal="right"/>
    </xf>
    <xf numFmtId="10" fontId="20" fillId="0" borderId="0" xfId="2" applyNumberFormat="1" applyFont="1" applyAlignment="1">
      <alignment horizontal="right"/>
    </xf>
    <xf numFmtId="44" fontId="0" fillId="0" borderId="11" xfId="2" applyNumberFormat="1" applyFont="1" applyBorder="1" applyAlignment="1">
      <alignment horizontal="center"/>
    </xf>
    <xf numFmtId="0" fontId="16" fillId="0" borderId="13" xfId="0" applyFont="1" applyBorder="1"/>
    <xf numFmtId="1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4" fontId="0" fillId="0" borderId="15" xfId="1" applyNumberFormat="1" applyFont="1" applyFill="1" applyBorder="1" applyAlignment="1">
      <alignment horizontal="center"/>
    </xf>
    <xf numFmtId="0" fontId="16" fillId="0" borderId="17" xfId="0" applyFont="1" applyBorder="1"/>
    <xf numFmtId="14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0" fontId="16" fillId="40" borderId="16" xfId="0" applyFont="1" applyFill="1" applyBorder="1"/>
    <xf numFmtId="0" fontId="16" fillId="40" borderId="16" xfId="0" applyFont="1" applyFill="1" applyBorder="1" applyAlignment="1">
      <alignment horizontal="center"/>
    </xf>
    <xf numFmtId="10" fontId="16" fillId="40" borderId="16" xfId="2" applyNumberFormat="1" applyFont="1" applyFill="1" applyBorder="1" applyAlignment="1">
      <alignment horizontal="center"/>
    </xf>
    <xf numFmtId="164" fontId="16" fillId="40" borderId="16" xfId="1" applyNumberFormat="1" applyFont="1" applyFill="1" applyBorder="1" applyAlignment="1">
      <alignment horizontal="center"/>
    </xf>
    <xf numFmtId="10" fontId="0" fillId="35" borderId="0" xfId="2" applyNumberFormat="1" applyFont="1" applyFill="1" applyAlignment="1">
      <alignment horizontal="center"/>
    </xf>
    <xf numFmtId="164" fontId="16" fillId="35" borderId="0" xfId="1" applyNumberFormat="1" applyFont="1" applyFill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1">
    <dxf>
      <font>
        <b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F7279-BACA-4354-8343-AD48C4E55F5F}" name="Table1" displayName="Table1" ref="B4:J19" totalsRowShown="0" headerRowDxfId="10" dataDxfId="9" dataCellStyle="Currency">
  <autoFilter ref="B4:J19" xr:uid="{E36F7279-BACA-4354-8343-AD48C4E55F5F}"/>
  <tableColumns count="9">
    <tableColumn id="1" xr3:uid="{7D5A537B-615D-4577-8DAD-411D0199262A}" name="Auction Type" dataDxfId="8"/>
    <tableColumn id="2" xr3:uid="{FDD65E6E-B592-4B3B-92AD-FA1E3B218E73}" name="Ended" dataDxfId="7"/>
    <tableColumn id="8" xr3:uid="{3AD9CB00-FEBF-40DE-B30C-C6B2A260B06D}" name="No. Lots" dataDxfId="6">
      <calculatedColumnFormula>'2-21'!A62</calculatedColumnFormula>
    </tableColumn>
    <tableColumn id="10" xr3:uid="{F29986D8-B9F0-4EC1-9EBD-762B5743511F}" name="Lots Paid" dataDxfId="5">
      <calculatedColumnFormula>'2-21'!H62</calculatedColumnFormula>
    </tableColumn>
    <tableColumn id="9" xr3:uid="{3FB22439-2310-4EE0-B712-C94C1D2D3FB4}" name="% Complete" dataDxfId="4">
      <calculatedColumnFormula>#REF!/#REF!</calculatedColumnFormula>
    </tableColumn>
    <tableColumn id="3" xr3:uid="{E93AEC9B-E079-4622-9024-DEF66FFFB5DB}" name="Total Hammer Price" dataDxfId="3" dataCellStyle="Currency"/>
    <tableColumn id="4" xr3:uid="{B7C98B89-78F9-4FDF-83B9-6753D9DBFD74}" name="JZ Gross Proceeds" dataDxfId="2" dataCellStyle="Percent"/>
    <tableColumn id="6" xr3:uid="{F341E47B-503B-46BA-B212-68B8B30F7E64}" name="CGC Auth Fee Total" dataDxfId="1" dataCellStyle="Currency"/>
    <tableColumn id="7" xr3:uid="{16173ED8-E934-4C62-A637-C9DCC1C6A692}" name="JZ Net Proceed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1A36-604C-473B-BB35-7B7AA4EC017E}">
  <sheetPr codeName="Sheet1">
    <pageSetUpPr fitToPage="1"/>
  </sheetPr>
  <dimension ref="B4:J19"/>
  <sheetViews>
    <sheetView showGridLines="0" tabSelected="1" zoomScale="101" zoomScaleNormal="92" workbookViewId="0">
      <selection activeCell="J19" sqref="J19"/>
    </sheetView>
  </sheetViews>
  <sheetFormatPr defaultRowHeight="15" x14ac:dyDescent="0.25"/>
  <cols>
    <col min="2" max="3" width="20.7109375" customWidth="1"/>
    <col min="4" max="4" width="13" bestFit="1" customWidth="1"/>
    <col min="5" max="5" width="13.7109375" bestFit="1" customWidth="1"/>
    <col min="6" max="6" width="16.5703125" bestFit="1" customWidth="1"/>
    <col min="7" max="7" width="21.140625" bestFit="1" customWidth="1"/>
    <col min="8" max="8" width="25.28515625" bestFit="1" customWidth="1"/>
    <col min="9" max="9" width="23.28515625" bestFit="1" customWidth="1"/>
    <col min="10" max="10" width="20.7109375" customWidth="1"/>
  </cols>
  <sheetData>
    <row r="4" spans="2:10" x14ac:dyDescent="0.25">
      <c r="B4" s="2" t="s">
        <v>14</v>
      </c>
      <c r="C4" s="18" t="s">
        <v>6</v>
      </c>
      <c r="D4" s="18" t="s">
        <v>11</v>
      </c>
      <c r="E4" s="18" t="s">
        <v>12</v>
      </c>
      <c r="F4" s="18" t="s">
        <v>99</v>
      </c>
      <c r="G4" s="2" t="s">
        <v>7</v>
      </c>
      <c r="H4" s="18" t="s">
        <v>77</v>
      </c>
      <c r="I4" s="18" t="s">
        <v>9</v>
      </c>
      <c r="J4" s="18" t="s">
        <v>75</v>
      </c>
    </row>
    <row r="5" spans="2:10" x14ac:dyDescent="0.25">
      <c r="B5" s="28" t="s">
        <v>13</v>
      </c>
      <c r="C5" s="14">
        <v>46074</v>
      </c>
      <c r="D5" s="15">
        <f>'2-21'!A62</f>
        <v>59</v>
      </c>
      <c r="E5" s="15">
        <f>'2-21'!H62</f>
        <v>58</v>
      </c>
      <c r="F5" s="19">
        <f>Table1[[#This Row],[Lots Paid]]/Table1[[#This Row],[No. Lots]]</f>
        <v>0.98305084745762716</v>
      </c>
      <c r="G5" s="21">
        <f>'2-21'!C62</f>
        <v>16993</v>
      </c>
      <c r="H5" s="16">
        <f>+'2-21'!E62</f>
        <v>18601.045000000002</v>
      </c>
      <c r="I5" s="21">
        <f>'2-21'!F62</f>
        <v>-84</v>
      </c>
      <c r="J5" s="48">
        <f>'2-21'!G62</f>
        <v>18517.035000000003</v>
      </c>
    </row>
    <row r="6" spans="2:10" x14ac:dyDescent="0.25">
      <c r="B6" s="9" t="s">
        <v>13</v>
      </c>
      <c r="C6" s="14">
        <v>46082</v>
      </c>
      <c r="D6" s="15">
        <f>+'3-1'!A22</f>
        <v>19</v>
      </c>
      <c r="E6" s="15">
        <f>+'3-1'!H22</f>
        <v>19</v>
      </c>
      <c r="F6" s="19">
        <f>+Table1[[#This Row],[Lots Paid]]/Table1[[#This Row],[No. Lots]]</f>
        <v>1</v>
      </c>
      <c r="G6" s="21">
        <f>+'3-1'!C22</f>
        <v>4025</v>
      </c>
      <c r="H6" s="39">
        <f>+'3-1'!E22</f>
        <v>4395.7550000000001</v>
      </c>
      <c r="I6" s="21">
        <f>+'3-1'!F22</f>
        <v>-51</v>
      </c>
      <c r="J6" s="48">
        <f>+'3-1'!G22</f>
        <v>4344.7549999999992</v>
      </c>
    </row>
    <row r="7" spans="2:10" x14ac:dyDescent="0.25">
      <c r="B7" s="9" t="s">
        <v>13</v>
      </c>
      <c r="C7" s="14">
        <v>46103</v>
      </c>
      <c r="D7" s="15">
        <f>+'3-22'!A81</f>
        <v>78</v>
      </c>
      <c r="E7" s="15">
        <f>+'3-22'!H81</f>
        <v>78</v>
      </c>
      <c r="F7" s="19">
        <f>+Table1[[#This Row],[Lots Paid]]/Table1[[#This Row],[No. Lots]]</f>
        <v>1</v>
      </c>
      <c r="G7" s="21">
        <f>+'3-22'!C81</f>
        <v>3326</v>
      </c>
      <c r="H7" s="39">
        <f>+'3-22'!E81</f>
        <v>3578.2050000000027</v>
      </c>
      <c r="I7" s="21">
        <f>+'3-22'!F81</f>
        <v>-219</v>
      </c>
      <c r="J7" s="17">
        <f>+'3-22'!G81</f>
        <v>3359.2050000000027</v>
      </c>
    </row>
    <row r="8" spans="2:10" x14ac:dyDescent="0.25">
      <c r="B8" s="9" t="s">
        <v>13</v>
      </c>
      <c r="C8" s="14">
        <v>46110</v>
      </c>
      <c r="D8" s="15">
        <f>+'3-29'!A26</f>
        <v>23</v>
      </c>
      <c r="E8" s="15">
        <f>+'3-29'!H26</f>
        <v>23</v>
      </c>
      <c r="F8" s="19">
        <f>+Table1[[#This Row],[Lots Paid]]/Table1[[#This Row],[No. Lots]]</f>
        <v>1</v>
      </c>
      <c r="G8" s="21">
        <f>+'3-29'!C26</f>
        <v>1768</v>
      </c>
      <c r="H8" s="39">
        <f>+'3-29'!E26</f>
        <v>1913.5500000000002</v>
      </c>
      <c r="I8" s="21">
        <f>+'3-29'!F26</f>
        <v>-60</v>
      </c>
      <c r="J8" s="17">
        <f>+'3-29'!G26</f>
        <v>1853.5500000000002</v>
      </c>
    </row>
    <row r="9" spans="2:10" x14ac:dyDescent="0.25">
      <c r="B9" s="9" t="s">
        <v>13</v>
      </c>
      <c r="C9" s="14">
        <v>46117</v>
      </c>
      <c r="D9" s="15">
        <f>+'4-5'!A6</f>
        <v>3</v>
      </c>
      <c r="E9" s="15">
        <f>+'4-5'!H6</f>
        <v>3</v>
      </c>
      <c r="F9" s="19">
        <f>+Table1[[#This Row],[Lots Paid]]/Table1[[#This Row],[No. Lots]]</f>
        <v>1</v>
      </c>
      <c r="G9" s="21">
        <f>+'4-5'!C6</f>
        <v>85</v>
      </c>
      <c r="H9" s="39">
        <f>+'4-5'!E6</f>
        <v>89.25</v>
      </c>
      <c r="I9" s="21">
        <f>+'4-5'!F6</f>
        <v>-9</v>
      </c>
      <c r="J9" s="17">
        <f>+'4-5'!G6</f>
        <v>80.25</v>
      </c>
    </row>
    <row r="10" spans="2:10" x14ac:dyDescent="0.25">
      <c r="B10" s="9" t="s">
        <v>13</v>
      </c>
      <c r="C10" s="14">
        <v>46124</v>
      </c>
      <c r="D10" s="15">
        <f>+'4-12'!A14</f>
        <v>11</v>
      </c>
      <c r="E10" s="15">
        <f>+'4-12'!H14</f>
        <v>11</v>
      </c>
      <c r="F10" s="19">
        <f>+Table1[[#This Row],[Lots Paid]]/Table1[[#This Row],[No. Lots]]</f>
        <v>1</v>
      </c>
      <c r="G10" s="21">
        <f>+'4-12'!C14</f>
        <v>496</v>
      </c>
      <c r="H10" s="39">
        <f>+'4-12'!E14</f>
        <v>536.79999999999995</v>
      </c>
      <c r="I10" s="21">
        <f>+'4-12'!F14</f>
        <v>-33</v>
      </c>
      <c r="J10" s="17">
        <f>+'4-12'!G14</f>
        <v>503.80000000000007</v>
      </c>
    </row>
    <row r="11" spans="2:10" x14ac:dyDescent="0.25">
      <c r="B11" s="9" t="s">
        <v>13</v>
      </c>
      <c r="C11" s="14">
        <v>46131</v>
      </c>
      <c r="D11" s="15">
        <f>+'4-19'!A5</f>
        <v>2</v>
      </c>
      <c r="E11" s="15">
        <f>+'4-19'!H5</f>
        <v>2</v>
      </c>
      <c r="F11" s="19">
        <f>+Table1[[#This Row],[Lots Paid]]/Table1[[#This Row],[No. Lots]]</f>
        <v>1</v>
      </c>
      <c r="G11" s="21">
        <f>+'4-19'!C5</f>
        <v>82</v>
      </c>
      <c r="H11" s="39">
        <f>+'4-19'!E5</f>
        <v>86.100000000000009</v>
      </c>
      <c r="I11" s="21">
        <f>+'4-19'!F5</f>
        <v>-6</v>
      </c>
      <c r="J11" s="17">
        <f>+'4-19'!G5</f>
        <v>80.100000000000009</v>
      </c>
    </row>
    <row r="12" spans="2:10" x14ac:dyDescent="0.25">
      <c r="B12" s="9" t="s">
        <v>13</v>
      </c>
      <c r="C12" s="14">
        <v>46138</v>
      </c>
      <c r="D12" s="15">
        <f>+'4-26'!A25</f>
        <v>22</v>
      </c>
      <c r="E12" s="15">
        <f>+'4-26'!H25</f>
        <v>21</v>
      </c>
      <c r="F12" s="19">
        <f>+Table1[[#This Row],[Lots Paid]]/Table1[[#This Row],[No. Lots]]</f>
        <v>0.95454545454545459</v>
      </c>
      <c r="G12" s="21">
        <f>+'4-26'!C25</f>
        <v>786</v>
      </c>
      <c r="H12" s="39">
        <f>+'4-26'!E25</f>
        <v>836.27499999999998</v>
      </c>
      <c r="I12" s="21">
        <f>+'4-26'!F25</f>
        <v>-66</v>
      </c>
      <c r="J12" s="17">
        <f>+'4-26'!G25</f>
        <v>773.27499999999998</v>
      </c>
    </row>
    <row r="13" spans="2:10" x14ac:dyDescent="0.25">
      <c r="B13" s="9" t="s">
        <v>13</v>
      </c>
      <c r="C13" s="14">
        <v>46145</v>
      </c>
      <c r="D13" s="15">
        <f>+'5-3'!A20</f>
        <v>17</v>
      </c>
      <c r="E13" s="15">
        <f>+'5-3'!H20</f>
        <v>17</v>
      </c>
      <c r="F13" s="19">
        <f>+Table1[[#This Row],[Lots Paid]]/Table1[[#This Row],[No. Lots]]</f>
        <v>1</v>
      </c>
      <c r="G13" s="21">
        <f>+'5-3'!C20</f>
        <v>1461</v>
      </c>
      <c r="H13" s="39">
        <f>+'5-3'!E20</f>
        <v>1581.3949999999998</v>
      </c>
      <c r="I13" s="21">
        <f>+'5-3'!F20</f>
        <v>-51</v>
      </c>
      <c r="J13" s="17">
        <f>+'5-3'!G20</f>
        <v>1530.3949999999998</v>
      </c>
    </row>
    <row r="14" spans="2:10" ht="15.75" thickBot="1" x14ac:dyDescent="0.3">
      <c r="B14" s="22" t="s">
        <v>13</v>
      </c>
      <c r="C14" s="23">
        <v>46152</v>
      </c>
      <c r="D14" s="24">
        <f>+'5-10'!A11</f>
        <v>8</v>
      </c>
      <c r="E14" s="24">
        <f>+'5-10'!H11</f>
        <v>8</v>
      </c>
      <c r="F14" s="25">
        <f>+Table1[[#This Row],[Lots Paid]]/Table1[[#This Row],[No. Lots]]</f>
        <v>1</v>
      </c>
      <c r="G14" s="26">
        <f>+'5-10'!C11</f>
        <v>1834</v>
      </c>
      <c r="H14" s="59">
        <f>'5-10'!E11</f>
        <v>2010.3500000000004</v>
      </c>
      <c r="I14" s="26">
        <f>+'5-10'!F11</f>
        <v>-18</v>
      </c>
      <c r="J14" s="27">
        <f>+'5-10'!G11</f>
        <v>1992.3500000000004</v>
      </c>
    </row>
    <row r="15" spans="2:10" x14ac:dyDescent="0.25">
      <c r="B15" s="69" t="s">
        <v>8</v>
      </c>
      <c r="C15" s="70" t="s">
        <v>176</v>
      </c>
      <c r="D15" s="70">
        <f>SUM(D5:D14)</f>
        <v>242</v>
      </c>
      <c r="E15" s="70">
        <f>SUM(E5:E14)</f>
        <v>240</v>
      </c>
      <c r="F15" s="71">
        <f>Table1[[#This Row],[Lots Paid]]/Table1[[#This Row],[No. Lots]]</f>
        <v>0.99173553719008267</v>
      </c>
      <c r="G15" s="72">
        <f>SUM(G5:G14)</f>
        <v>30856</v>
      </c>
      <c r="H15" s="55">
        <f>+SUM(H5:H14)</f>
        <v>33628.725000000006</v>
      </c>
      <c r="I15" s="54">
        <f>SUM(I5:I14)</f>
        <v>-597</v>
      </c>
      <c r="J15" s="53">
        <f>SUM(J5:J14)</f>
        <v>33034.715000000004</v>
      </c>
    </row>
    <row r="16" spans="2:10" x14ac:dyDescent="0.25">
      <c r="B16" s="65"/>
      <c r="C16" s="66"/>
      <c r="D16" s="67"/>
      <c r="E16" s="67"/>
      <c r="F16" s="67"/>
      <c r="G16" s="68"/>
      <c r="H16" s="57" t="s">
        <v>253</v>
      </c>
      <c r="I16" s="52">
        <v>22861.79</v>
      </c>
      <c r="J16" s="17">
        <f>+J15-Table1[[#This Row],[CGC Auth Fee Total]]</f>
        <v>10172.925000000003</v>
      </c>
    </row>
    <row r="17" spans="2:10" x14ac:dyDescent="0.25">
      <c r="B17" s="60"/>
      <c r="C17" s="61"/>
      <c r="D17" s="62"/>
      <c r="E17" s="62"/>
      <c r="F17" s="62"/>
      <c r="G17" s="63"/>
      <c r="H17" s="57" t="s">
        <v>251</v>
      </c>
      <c r="I17" s="52">
        <v>685.38</v>
      </c>
      <c r="J17" s="17">
        <f>+J16-Table1[[#This Row],[CGC Auth Fee Total]]</f>
        <v>9487.5450000000037</v>
      </c>
    </row>
    <row r="18" spans="2:10" x14ac:dyDescent="0.25">
      <c r="B18" s="60"/>
      <c r="C18" s="61"/>
      <c r="D18" s="62"/>
      <c r="E18" s="62"/>
      <c r="F18" s="62"/>
      <c r="G18" s="63"/>
      <c r="H18" s="58" t="s">
        <v>252</v>
      </c>
      <c r="I18" s="52">
        <v>24.86</v>
      </c>
      <c r="J18" s="17">
        <f>+J17-Table1[[#This Row],[CGC Auth Fee Total]]</f>
        <v>9462.6850000000031</v>
      </c>
    </row>
    <row r="19" spans="2:10" x14ac:dyDescent="0.25">
      <c r="B19" s="60"/>
      <c r="C19" s="61"/>
      <c r="D19" s="62"/>
      <c r="E19" s="62"/>
      <c r="F19" s="62"/>
      <c r="G19" s="64"/>
      <c r="H19" s="73"/>
      <c r="I19" s="74" t="s">
        <v>250</v>
      </c>
      <c r="J19" s="56">
        <f>+J18</f>
        <v>9462.6850000000031</v>
      </c>
    </row>
  </sheetData>
  <phoneticPr fontId="19" type="noConversion"/>
  <pageMargins left="0.25" right="0.25" top="0.75" bottom="0.75" header="0.3" footer="0.3"/>
  <pageSetup scale="37" orientation="landscape" horizontalDpi="1200" verticalDpi="1200" r:id="rId1"/>
  <ignoredErrors>
    <ignoredError sqref="F5 D15:F15 D6:J6 D7:F7 D8:F8 D9:F9 D10:F10 D11:F11 D12:F12 D13:F13 D14:F14" calculatedColumn="1"/>
    <ignoredError sqref="H15" formula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9A4D-19B6-4A9A-ACC9-38635DB5324D}">
  <sheetPr codeName="Sheet2"/>
  <dimension ref="A1:L62"/>
  <sheetViews>
    <sheetView showGridLines="0" workbookViewId="0">
      <pane ySplit="1" topLeftCell="A32" activePane="bottomLeft" state="frozen"/>
      <selection pane="bottomLeft" activeCell="A53" sqref="A53:L53"/>
    </sheetView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8.7109375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 s="34">
        <v>2555</v>
      </c>
      <c r="B2" t="s">
        <v>34</v>
      </c>
      <c r="C2" s="3">
        <v>2600</v>
      </c>
      <c r="D2" s="5">
        <v>1.1000000000000001</v>
      </c>
      <c r="E2" s="6">
        <v>2860.0000000000005</v>
      </c>
      <c r="F2" s="4"/>
      <c r="G2" s="6">
        <v>2860.0000000000005</v>
      </c>
      <c r="H2" t="s">
        <v>76</v>
      </c>
      <c r="I2" s="1">
        <v>46074</v>
      </c>
      <c r="J2">
        <v>37</v>
      </c>
      <c r="K2" s="13">
        <v>2886</v>
      </c>
      <c r="L2" s="3">
        <f t="shared" ref="L2:L33" si="0">+K2-E2</f>
        <v>25.999999999999545</v>
      </c>
    </row>
    <row r="3" spans="1:12" x14ac:dyDescent="0.25">
      <c r="A3" s="34">
        <v>2922</v>
      </c>
      <c r="B3" t="s">
        <v>54</v>
      </c>
      <c r="C3" s="3">
        <v>1800</v>
      </c>
      <c r="D3" s="5">
        <v>1.1000000000000001</v>
      </c>
      <c r="E3" s="6">
        <v>1980.0000000000002</v>
      </c>
      <c r="F3" s="4"/>
      <c r="G3" s="6">
        <v>1980.0000000000002</v>
      </c>
      <c r="H3" t="s">
        <v>76</v>
      </c>
      <c r="I3" s="1">
        <v>46074</v>
      </c>
      <c r="J3">
        <v>22</v>
      </c>
      <c r="K3" s="13">
        <v>1998</v>
      </c>
      <c r="L3" s="3">
        <f t="shared" si="0"/>
        <v>17.999999999999773</v>
      </c>
    </row>
    <row r="4" spans="1:12" x14ac:dyDescent="0.25">
      <c r="A4" s="34">
        <v>2522</v>
      </c>
      <c r="B4" t="s">
        <v>70</v>
      </c>
      <c r="C4" s="3">
        <v>1050</v>
      </c>
      <c r="D4" s="5">
        <v>1.1000000000000001</v>
      </c>
      <c r="E4" s="6">
        <v>1155</v>
      </c>
      <c r="F4" s="4"/>
      <c r="G4" s="6">
        <v>1155</v>
      </c>
      <c r="H4" t="s">
        <v>76</v>
      </c>
      <c r="I4" s="1">
        <v>46074</v>
      </c>
      <c r="J4">
        <v>12</v>
      </c>
      <c r="K4" s="13">
        <v>1165.5</v>
      </c>
      <c r="L4" s="3">
        <f t="shared" si="0"/>
        <v>10.5</v>
      </c>
    </row>
    <row r="5" spans="1:12" x14ac:dyDescent="0.25">
      <c r="A5" s="34">
        <v>2461</v>
      </c>
      <c r="B5" t="s">
        <v>72</v>
      </c>
      <c r="C5" s="3">
        <v>1050</v>
      </c>
      <c r="D5" s="5">
        <v>1.1000000000000001</v>
      </c>
      <c r="E5" s="6">
        <v>1155</v>
      </c>
      <c r="F5" s="4"/>
      <c r="G5" s="6">
        <v>1155</v>
      </c>
      <c r="H5" t="s">
        <v>76</v>
      </c>
      <c r="I5" s="1">
        <v>46074</v>
      </c>
      <c r="J5">
        <v>19</v>
      </c>
      <c r="K5" s="13">
        <v>1165.5</v>
      </c>
      <c r="L5" s="3">
        <f t="shared" si="0"/>
        <v>10.5</v>
      </c>
    </row>
    <row r="6" spans="1:12" x14ac:dyDescent="0.25">
      <c r="A6" s="34">
        <v>2460</v>
      </c>
      <c r="B6" t="s">
        <v>40</v>
      </c>
      <c r="C6" s="3">
        <v>900</v>
      </c>
      <c r="D6" s="5">
        <v>1.1000000000000001</v>
      </c>
      <c r="E6" s="6">
        <v>990.00000000000011</v>
      </c>
      <c r="F6" s="4"/>
      <c r="G6" s="6">
        <v>990.00000000000011</v>
      </c>
      <c r="H6" t="s">
        <v>76</v>
      </c>
      <c r="I6" s="1">
        <v>46074</v>
      </c>
      <c r="J6">
        <v>28</v>
      </c>
      <c r="K6" s="13">
        <v>999</v>
      </c>
      <c r="L6" s="3">
        <f t="shared" si="0"/>
        <v>8.9999999999998863</v>
      </c>
    </row>
    <row r="7" spans="1:12" x14ac:dyDescent="0.25">
      <c r="A7" s="34">
        <v>2510</v>
      </c>
      <c r="B7" t="s">
        <v>16</v>
      </c>
      <c r="C7" s="3">
        <v>725</v>
      </c>
      <c r="D7" s="5">
        <v>1.1000000000000001</v>
      </c>
      <c r="E7" s="6">
        <v>797.50000000000011</v>
      </c>
      <c r="F7" s="4"/>
      <c r="G7" s="6">
        <v>797.50000000000011</v>
      </c>
      <c r="H7" t="s">
        <v>76</v>
      </c>
      <c r="I7" s="1">
        <v>46074</v>
      </c>
      <c r="J7">
        <v>16</v>
      </c>
      <c r="K7" s="13">
        <v>804.75</v>
      </c>
      <c r="L7" s="3">
        <f t="shared" si="0"/>
        <v>7.2499999999998863</v>
      </c>
    </row>
    <row r="8" spans="1:12" x14ac:dyDescent="0.25">
      <c r="A8" s="34">
        <v>2810</v>
      </c>
      <c r="B8" t="s">
        <v>38</v>
      </c>
      <c r="C8" s="3">
        <v>725</v>
      </c>
      <c r="D8" s="5">
        <v>1.1000000000000001</v>
      </c>
      <c r="E8" s="6">
        <v>797.50000000000011</v>
      </c>
      <c r="F8" s="4"/>
      <c r="G8" s="6">
        <v>797.50000000000011</v>
      </c>
      <c r="H8" t="s">
        <v>76</v>
      </c>
      <c r="I8" s="1">
        <v>46074</v>
      </c>
      <c r="J8">
        <v>24</v>
      </c>
      <c r="K8" s="13">
        <v>804.75</v>
      </c>
      <c r="L8" s="3">
        <f t="shared" si="0"/>
        <v>7.2499999999998863</v>
      </c>
    </row>
    <row r="9" spans="1:12" x14ac:dyDescent="0.25">
      <c r="A9" s="34">
        <v>1198</v>
      </c>
      <c r="B9" t="s">
        <v>33</v>
      </c>
      <c r="C9" s="3">
        <v>700</v>
      </c>
      <c r="D9" s="5">
        <v>1.1000000000000001</v>
      </c>
      <c r="E9" s="6">
        <v>770.00000000000011</v>
      </c>
      <c r="F9" s="4"/>
      <c r="G9" s="6">
        <v>770.00000000000011</v>
      </c>
      <c r="H9" t="s">
        <v>76</v>
      </c>
      <c r="I9" s="1">
        <v>46074</v>
      </c>
      <c r="J9">
        <v>18</v>
      </c>
      <c r="K9" s="13">
        <v>777</v>
      </c>
      <c r="L9" s="3">
        <f t="shared" si="0"/>
        <v>6.9999999999998863</v>
      </c>
    </row>
    <row r="10" spans="1:12" x14ac:dyDescent="0.25">
      <c r="A10" s="34">
        <v>2424</v>
      </c>
      <c r="B10" t="s">
        <v>71</v>
      </c>
      <c r="C10" s="3">
        <v>675</v>
      </c>
      <c r="D10" s="5">
        <v>1.1000000000000001</v>
      </c>
      <c r="E10" s="6">
        <v>742.50000000000011</v>
      </c>
      <c r="F10" s="4"/>
      <c r="G10" s="6">
        <v>742.50000000000011</v>
      </c>
      <c r="H10" t="s">
        <v>76</v>
      </c>
      <c r="I10" s="1">
        <v>46074</v>
      </c>
      <c r="J10">
        <v>16</v>
      </c>
      <c r="K10" s="13">
        <v>749.25</v>
      </c>
      <c r="L10" s="3">
        <f t="shared" si="0"/>
        <v>6.7499999999998863</v>
      </c>
    </row>
    <row r="11" spans="1:12" x14ac:dyDescent="0.25">
      <c r="A11" s="34">
        <v>2556</v>
      </c>
      <c r="B11" t="s">
        <v>68</v>
      </c>
      <c r="C11" s="3">
        <v>550</v>
      </c>
      <c r="D11" s="5">
        <v>1.1000000000000001</v>
      </c>
      <c r="E11" s="6">
        <v>605</v>
      </c>
      <c r="F11" s="4"/>
      <c r="G11" s="6">
        <v>605</v>
      </c>
      <c r="H11" t="s">
        <v>76</v>
      </c>
      <c r="I11" s="1">
        <v>46074</v>
      </c>
      <c r="J11">
        <v>11</v>
      </c>
      <c r="K11" s="13">
        <v>610.5</v>
      </c>
      <c r="L11" s="3">
        <f t="shared" si="0"/>
        <v>5.5</v>
      </c>
    </row>
    <row r="12" spans="1:12" x14ac:dyDescent="0.25">
      <c r="A12" s="34">
        <v>1075</v>
      </c>
      <c r="B12" t="s">
        <v>58</v>
      </c>
      <c r="C12" s="3">
        <v>460</v>
      </c>
      <c r="D12" s="5">
        <v>1.1000000000000001</v>
      </c>
      <c r="E12" s="6">
        <v>506.00000000000006</v>
      </c>
      <c r="F12" s="4"/>
      <c r="G12" s="6">
        <v>506.00000000000006</v>
      </c>
      <c r="H12" t="s">
        <v>76</v>
      </c>
      <c r="I12" s="1">
        <v>46074</v>
      </c>
      <c r="J12">
        <v>15</v>
      </c>
      <c r="K12" s="13">
        <v>510.6</v>
      </c>
      <c r="L12" s="3">
        <f t="shared" si="0"/>
        <v>4.5999999999999659</v>
      </c>
    </row>
    <row r="13" spans="1:12" x14ac:dyDescent="0.25">
      <c r="A13" s="34">
        <v>2515</v>
      </c>
      <c r="B13" t="s">
        <v>31</v>
      </c>
      <c r="C13" s="3">
        <v>400</v>
      </c>
      <c r="D13" s="5">
        <v>1.1000000000000001</v>
      </c>
      <c r="E13" s="6">
        <v>440.00000000000006</v>
      </c>
      <c r="F13" s="4"/>
      <c r="G13" s="6">
        <v>440.00000000000006</v>
      </c>
      <c r="H13" t="s">
        <v>76</v>
      </c>
      <c r="I13" s="1">
        <v>46074</v>
      </c>
      <c r="J13">
        <v>32</v>
      </c>
      <c r="K13" s="13">
        <v>444</v>
      </c>
      <c r="L13" s="3">
        <f t="shared" si="0"/>
        <v>3.9999999999999432</v>
      </c>
    </row>
    <row r="14" spans="1:12" x14ac:dyDescent="0.25">
      <c r="A14" s="34">
        <v>2860</v>
      </c>
      <c r="B14" t="s">
        <v>63</v>
      </c>
      <c r="C14" s="3">
        <v>360</v>
      </c>
      <c r="D14" s="5">
        <v>1.1000000000000001</v>
      </c>
      <c r="E14" s="6">
        <v>396.00000000000006</v>
      </c>
      <c r="F14" s="4"/>
      <c r="G14" s="6">
        <v>396.00000000000006</v>
      </c>
      <c r="H14" t="s">
        <v>76</v>
      </c>
      <c r="I14" s="1">
        <v>46074</v>
      </c>
      <c r="J14">
        <v>19</v>
      </c>
      <c r="K14" s="13">
        <v>399.6</v>
      </c>
      <c r="L14" s="3">
        <f t="shared" si="0"/>
        <v>3.5999999999999659</v>
      </c>
    </row>
    <row r="15" spans="1:12" x14ac:dyDescent="0.25">
      <c r="A15" s="34">
        <v>2544</v>
      </c>
      <c r="B15" t="s">
        <v>18</v>
      </c>
      <c r="C15" s="3">
        <v>310</v>
      </c>
      <c r="D15" s="5">
        <v>1.1000000000000001</v>
      </c>
      <c r="E15" s="6">
        <v>341</v>
      </c>
      <c r="F15" s="4">
        <v>-3</v>
      </c>
      <c r="G15" s="6">
        <v>338</v>
      </c>
      <c r="H15" t="s">
        <v>76</v>
      </c>
      <c r="I15" s="1">
        <v>46074</v>
      </c>
      <c r="J15">
        <v>28</v>
      </c>
      <c r="K15" s="13">
        <v>344.1</v>
      </c>
      <c r="L15" s="3">
        <f t="shared" si="0"/>
        <v>3.1000000000000227</v>
      </c>
    </row>
    <row r="16" spans="1:12" x14ac:dyDescent="0.25">
      <c r="A16" s="34">
        <v>1548</v>
      </c>
      <c r="B16" t="s">
        <v>32</v>
      </c>
      <c r="C16" s="3">
        <v>280</v>
      </c>
      <c r="D16" s="5">
        <v>1.1000000000000001</v>
      </c>
      <c r="E16" s="6">
        <v>308</v>
      </c>
      <c r="F16" s="4">
        <v>-3</v>
      </c>
      <c r="G16" s="6">
        <v>305</v>
      </c>
      <c r="H16" t="s">
        <v>76</v>
      </c>
      <c r="I16" s="1">
        <v>46074</v>
      </c>
      <c r="J16">
        <v>16</v>
      </c>
      <c r="K16" s="13">
        <v>310.8</v>
      </c>
      <c r="L16" s="3">
        <f t="shared" si="0"/>
        <v>2.8000000000000114</v>
      </c>
    </row>
    <row r="17" spans="1:12" x14ac:dyDescent="0.25">
      <c r="A17" s="34">
        <v>2540</v>
      </c>
      <c r="B17" t="s">
        <v>62</v>
      </c>
      <c r="C17" s="3">
        <v>280</v>
      </c>
      <c r="D17" s="5">
        <v>1.1000000000000001</v>
      </c>
      <c r="E17" s="6">
        <v>308</v>
      </c>
      <c r="F17" s="4">
        <v>-3</v>
      </c>
      <c r="G17" s="6">
        <v>305</v>
      </c>
      <c r="H17" t="s">
        <v>76</v>
      </c>
      <c r="I17" s="1">
        <v>46074</v>
      </c>
      <c r="J17">
        <v>11</v>
      </c>
      <c r="K17" s="13">
        <v>310.8</v>
      </c>
      <c r="L17" s="3">
        <f t="shared" si="0"/>
        <v>2.8000000000000114</v>
      </c>
    </row>
    <row r="18" spans="1:12" x14ac:dyDescent="0.25">
      <c r="A18" s="34">
        <v>2559</v>
      </c>
      <c r="B18" t="s">
        <v>73</v>
      </c>
      <c r="C18" s="3">
        <v>260</v>
      </c>
      <c r="D18" s="5">
        <v>1.1000000000000001</v>
      </c>
      <c r="E18" s="6">
        <v>286</v>
      </c>
      <c r="F18" s="4"/>
      <c r="G18" s="6">
        <v>286</v>
      </c>
      <c r="H18" t="s">
        <v>76</v>
      </c>
      <c r="I18" s="1">
        <v>46074</v>
      </c>
      <c r="J18">
        <v>32</v>
      </c>
      <c r="K18" s="13">
        <v>288.60000000000002</v>
      </c>
      <c r="L18" s="3">
        <f t="shared" si="0"/>
        <v>2.6000000000000227</v>
      </c>
    </row>
    <row r="19" spans="1:12" x14ac:dyDescent="0.25">
      <c r="A19" s="34">
        <v>3112</v>
      </c>
      <c r="B19" t="s">
        <v>30</v>
      </c>
      <c r="C19" s="3">
        <v>230</v>
      </c>
      <c r="D19" s="5">
        <v>1.1000000000000001</v>
      </c>
      <c r="E19" s="6">
        <v>253.00000000000003</v>
      </c>
      <c r="F19" s="4">
        <v>-3</v>
      </c>
      <c r="G19" s="6">
        <v>250.00000000000003</v>
      </c>
      <c r="H19" t="s">
        <v>76</v>
      </c>
      <c r="I19" s="1">
        <v>46074</v>
      </c>
      <c r="J19">
        <v>19</v>
      </c>
      <c r="K19" s="13">
        <v>255.3</v>
      </c>
      <c r="L19" s="3">
        <f t="shared" si="0"/>
        <v>2.2999999999999829</v>
      </c>
    </row>
    <row r="20" spans="1:12" x14ac:dyDescent="0.25">
      <c r="A20" s="34">
        <v>2463</v>
      </c>
      <c r="B20" t="s">
        <v>53</v>
      </c>
      <c r="C20" s="3">
        <v>230</v>
      </c>
      <c r="D20" s="5">
        <v>1.1000000000000001</v>
      </c>
      <c r="E20" s="6">
        <v>253.00000000000003</v>
      </c>
      <c r="F20" s="4"/>
      <c r="G20" s="6">
        <v>253.00000000000003</v>
      </c>
      <c r="H20" t="s">
        <v>76</v>
      </c>
      <c r="I20" s="1">
        <v>46074</v>
      </c>
      <c r="J20">
        <v>31</v>
      </c>
      <c r="K20" s="13">
        <v>255.3</v>
      </c>
      <c r="L20" s="3">
        <f t="shared" si="0"/>
        <v>2.2999999999999829</v>
      </c>
    </row>
    <row r="21" spans="1:12" x14ac:dyDescent="0.25">
      <c r="A21" s="34">
        <v>2509</v>
      </c>
      <c r="B21" t="s">
        <v>43</v>
      </c>
      <c r="C21" s="3">
        <v>210</v>
      </c>
      <c r="D21" s="5">
        <v>1.1000000000000001</v>
      </c>
      <c r="E21" s="6">
        <v>231.00000000000003</v>
      </c>
      <c r="F21" s="4"/>
      <c r="G21" s="6">
        <v>231.00000000000003</v>
      </c>
      <c r="H21" t="s">
        <v>76</v>
      </c>
      <c r="I21" s="1">
        <v>46074</v>
      </c>
      <c r="J21">
        <v>38</v>
      </c>
      <c r="K21" s="13">
        <v>233.1</v>
      </c>
      <c r="L21" s="3">
        <f t="shared" si="0"/>
        <v>2.0999999999999659</v>
      </c>
    </row>
    <row r="22" spans="1:12" x14ac:dyDescent="0.25">
      <c r="A22" s="34">
        <v>2513</v>
      </c>
      <c r="B22" t="s">
        <v>44</v>
      </c>
      <c r="C22" s="3">
        <v>190</v>
      </c>
      <c r="D22" s="29">
        <v>1.075</v>
      </c>
      <c r="E22" s="6">
        <v>204.25</v>
      </c>
      <c r="F22" s="4">
        <v>-3</v>
      </c>
      <c r="G22" s="6">
        <v>201.25</v>
      </c>
      <c r="H22" t="s">
        <v>76</v>
      </c>
      <c r="I22" s="1">
        <v>46074</v>
      </c>
      <c r="J22">
        <v>9</v>
      </c>
      <c r="K22" s="13">
        <v>209</v>
      </c>
      <c r="L22" s="3">
        <f t="shared" si="0"/>
        <v>4.75</v>
      </c>
    </row>
    <row r="23" spans="1:12" x14ac:dyDescent="0.25">
      <c r="A23" s="34">
        <v>5136</v>
      </c>
      <c r="B23" t="s">
        <v>23</v>
      </c>
      <c r="C23" s="3">
        <v>180</v>
      </c>
      <c r="D23" s="29">
        <v>1.075</v>
      </c>
      <c r="E23" s="6">
        <v>193.5</v>
      </c>
      <c r="F23" s="4">
        <v>-3</v>
      </c>
      <c r="G23" s="6">
        <v>190.5</v>
      </c>
      <c r="H23" t="s">
        <v>76</v>
      </c>
      <c r="I23" s="1">
        <v>46074</v>
      </c>
      <c r="J23">
        <v>7</v>
      </c>
      <c r="K23" s="13">
        <v>198</v>
      </c>
      <c r="L23" s="3">
        <f t="shared" si="0"/>
        <v>4.5</v>
      </c>
    </row>
    <row r="24" spans="1:12" x14ac:dyDescent="0.25">
      <c r="A24" s="34">
        <v>1179</v>
      </c>
      <c r="B24" t="s">
        <v>37</v>
      </c>
      <c r="C24" s="3">
        <v>175</v>
      </c>
      <c r="D24" s="29">
        <v>1.075</v>
      </c>
      <c r="E24" s="6">
        <v>188.125</v>
      </c>
      <c r="F24" s="4"/>
      <c r="G24" s="6">
        <v>188.125</v>
      </c>
      <c r="H24" t="s">
        <v>76</v>
      </c>
      <c r="I24" s="1">
        <v>46074</v>
      </c>
      <c r="J24">
        <v>25</v>
      </c>
      <c r="K24" s="13">
        <v>192.5</v>
      </c>
      <c r="L24" s="3">
        <f t="shared" si="0"/>
        <v>4.375</v>
      </c>
    </row>
    <row r="25" spans="1:12" x14ac:dyDescent="0.25">
      <c r="A25" s="34">
        <v>3090</v>
      </c>
      <c r="B25" t="s">
        <v>29</v>
      </c>
      <c r="C25" s="3">
        <v>170</v>
      </c>
      <c r="D25" s="29">
        <v>1.075</v>
      </c>
      <c r="E25" s="6">
        <v>182.75</v>
      </c>
      <c r="F25" s="4">
        <v>-3</v>
      </c>
      <c r="G25" s="6">
        <v>179.75</v>
      </c>
      <c r="H25" t="s">
        <v>76</v>
      </c>
      <c r="I25" s="1">
        <v>46074</v>
      </c>
      <c r="J25">
        <v>38</v>
      </c>
      <c r="K25" s="13">
        <v>187</v>
      </c>
      <c r="L25" s="3">
        <f t="shared" si="0"/>
        <v>4.25</v>
      </c>
    </row>
    <row r="26" spans="1:12" x14ac:dyDescent="0.25">
      <c r="A26" s="34">
        <v>2809</v>
      </c>
      <c r="B26" t="s">
        <v>39</v>
      </c>
      <c r="C26" s="3">
        <v>165</v>
      </c>
      <c r="D26" s="29">
        <v>1.075</v>
      </c>
      <c r="E26" s="6">
        <v>177.375</v>
      </c>
      <c r="F26" s="4"/>
      <c r="G26" s="6">
        <v>177.375</v>
      </c>
      <c r="H26" t="s">
        <v>76</v>
      </c>
      <c r="I26" s="1">
        <v>46074</v>
      </c>
      <c r="J26">
        <v>14</v>
      </c>
      <c r="K26" s="13">
        <v>181.5</v>
      </c>
      <c r="L26" s="3">
        <f t="shared" si="0"/>
        <v>4.125</v>
      </c>
    </row>
    <row r="27" spans="1:12" x14ac:dyDescent="0.25">
      <c r="A27" s="34">
        <v>2421</v>
      </c>
      <c r="B27" t="s">
        <v>69</v>
      </c>
      <c r="C27" s="3">
        <v>160</v>
      </c>
      <c r="D27" s="29">
        <v>1.075</v>
      </c>
      <c r="E27" s="6">
        <v>172</v>
      </c>
      <c r="F27" s="4"/>
      <c r="G27" s="6">
        <v>172</v>
      </c>
      <c r="H27" t="s">
        <v>76</v>
      </c>
      <c r="I27" s="1">
        <v>46074</v>
      </c>
      <c r="J27">
        <v>15</v>
      </c>
      <c r="K27" s="13">
        <v>176</v>
      </c>
      <c r="L27" s="3">
        <f t="shared" si="0"/>
        <v>4</v>
      </c>
    </row>
    <row r="28" spans="1:12" x14ac:dyDescent="0.25">
      <c r="A28" s="34">
        <v>3101</v>
      </c>
      <c r="B28" t="s">
        <v>74</v>
      </c>
      <c r="C28" s="3">
        <v>160</v>
      </c>
      <c r="D28" s="29">
        <v>1.075</v>
      </c>
      <c r="E28" s="6">
        <v>172</v>
      </c>
      <c r="F28" s="4">
        <v>-3</v>
      </c>
      <c r="G28" s="6">
        <v>169</v>
      </c>
      <c r="H28" t="s">
        <v>76</v>
      </c>
      <c r="I28" s="1">
        <v>46074</v>
      </c>
      <c r="J28">
        <v>17</v>
      </c>
      <c r="K28" s="13">
        <v>176</v>
      </c>
      <c r="L28" s="3">
        <f t="shared" si="0"/>
        <v>4</v>
      </c>
    </row>
    <row r="29" spans="1:12" x14ac:dyDescent="0.25">
      <c r="A29" s="34">
        <v>2794</v>
      </c>
      <c r="B29" t="s">
        <v>36</v>
      </c>
      <c r="C29" s="3">
        <v>150</v>
      </c>
      <c r="D29" s="29">
        <v>1.075</v>
      </c>
      <c r="E29" s="6">
        <v>161.25</v>
      </c>
      <c r="F29" s="4"/>
      <c r="G29" s="6">
        <v>161.25</v>
      </c>
      <c r="H29" t="s">
        <v>76</v>
      </c>
      <c r="I29" s="1">
        <v>46074</v>
      </c>
      <c r="J29">
        <v>40</v>
      </c>
      <c r="K29" s="13">
        <v>165</v>
      </c>
      <c r="L29" s="3">
        <f t="shared" si="0"/>
        <v>3.75</v>
      </c>
    </row>
    <row r="30" spans="1:12" x14ac:dyDescent="0.25">
      <c r="A30" s="34">
        <v>3103</v>
      </c>
      <c r="B30" t="s">
        <v>35</v>
      </c>
      <c r="C30" s="3">
        <v>135</v>
      </c>
      <c r="D30" s="29">
        <v>1.075</v>
      </c>
      <c r="E30" s="6">
        <v>145.125</v>
      </c>
      <c r="F30" s="4">
        <v>-3</v>
      </c>
      <c r="G30" s="6">
        <v>142.125</v>
      </c>
      <c r="H30" t="s">
        <v>76</v>
      </c>
      <c r="I30" s="1">
        <v>46074</v>
      </c>
      <c r="J30">
        <v>48</v>
      </c>
      <c r="K30" s="13">
        <v>148.5</v>
      </c>
      <c r="L30" s="3">
        <f t="shared" si="0"/>
        <v>3.375</v>
      </c>
    </row>
    <row r="31" spans="1:12" x14ac:dyDescent="0.25">
      <c r="A31" s="34">
        <v>3176</v>
      </c>
      <c r="B31" t="s">
        <v>45</v>
      </c>
      <c r="C31" s="3">
        <v>125</v>
      </c>
      <c r="D31" s="29">
        <v>1.075</v>
      </c>
      <c r="E31" s="6">
        <v>134.38</v>
      </c>
      <c r="F31" s="4">
        <v>-3</v>
      </c>
      <c r="G31" s="6">
        <v>131.38</v>
      </c>
      <c r="H31" t="s">
        <v>76</v>
      </c>
      <c r="I31" s="1">
        <v>46074</v>
      </c>
      <c r="J31">
        <v>9</v>
      </c>
      <c r="K31" s="13">
        <v>137.5</v>
      </c>
      <c r="L31" s="3">
        <f t="shared" si="0"/>
        <v>3.1200000000000045</v>
      </c>
    </row>
    <row r="32" spans="1:12" x14ac:dyDescent="0.25">
      <c r="A32" s="34">
        <v>2263</v>
      </c>
      <c r="B32" t="s">
        <v>60</v>
      </c>
      <c r="C32" s="3">
        <v>105</v>
      </c>
      <c r="D32" s="29">
        <v>1.075</v>
      </c>
      <c r="E32" s="6">
        <v>112.89</v>
      </c>
      <c r="F32" s="4">
        <v>-3</v>
      </c>
      <c r="G32" s="6">
        <v>109.89</v>
      </c>
      <c r="H32" t="s">
        <v>76</v>
      </c>
      <c r="I32" s="1">
        <v>46074</v>
      </c>
      <c r="J32">
        <v>25</v>
      </c>
      <c r="K32" s="13">
        <v>115.5</v>
      </c>
      <c r="L32" s="3">
        <f t="shared" si="0"/>
        <v>2.6099999999999994</v>
      </c>
    </row>
    <row r="33" spans="1:12" x14ac:dyDescent="0.25">
      <c r="A33" s="34">
        <v>3081</v>
      </c>
      <c r="B33" t="s">
        <v>28</v>
      </c>
      <c r="C33" s="3">
        <v>100</v>
      </c>
      <c r="D33" s="29">
        <v>1.075</v>
      </c>
      <c r="E33" s="6">
        <v>107.5</v>
      </c>
      <c r="F33" s="4">
        <v>-3</v>
      </c>
      <c r="G33" s="6">
        <v>104.5</v>
      </c>
      <c r="H33" t="s">
        <v>76</v>
      </c>
      <c r="I33" s="1">
        <v>46074</v>
      </c>
      <c r="J33">
        <v>15</v>
      </c>
      <c r="K33" s="13">
        <v>110</v>
      </c>
      <c r="L33" s="3">
        <f t="shared" si="0"/>
        <v>2.5</v>
      </c>
    </row>
    <row r="34" spans="1:12" x14ac:dyDescent="0.25">
      <c r="A34" s="34">
        <v>1332</v>
      </c>
      <c r="B34" t="s">
        <v>46</v>
      </c>
      <c r="C34" s="3">
        <v>90</v>
      </c>
      <c r="D34" s="29">
        <v>1.075</v>
      </c>
      <c r="E34" s="6">
        <v>96.75</v>
      </c>
      <c r="F34" s="4"/>
      <c r="G34" s="6">
        <v>96.75</v>
      </c>
      <c r="H34" t="s">
        <v>76</v>
      </c>
      <c r="I34" s="1">
        <v>46074</v>
      </c>
      <c r="J34">
        <v>16</v>
      </c>
      <c r="K34" s="13">
        <v>97.2</v>
      </c>
      <c r="L34" s="3">
        <f t="shared" ref="L34:L60" si="1">+K34-E34</f>
        <v>0.45000000000000284</v>
      </c>
    </row>
    <row r="35" spans="1:12" x14ac:dyDescent="0.25">
      <c r="A35" s="34">
        <v>1992</v>
      </c>
      <c r="B35" t="s">
        <v>64</v>
      </c>
      <c r="C35" s="3">
        <v>88</v>
      </c>
      <c r="D35" s="29">
        <v>1.075</v>
      </c>
      <c r="E35" s="6">
        <v>94.6</v>
      </c>
      <c r="F35" s="4">
        <v>-3</v>
      </c>
      <c r="G35" s="6">
        <v>91.6</v>
      </c>
      <c r="H35" t="s">
        <v>76</v>
      </c>
      <c r="I35" s="1">
        <v>46074</v>
      </c>
      <c r="J35">
        <v>12</v>
      </c>
      <c r="K35" s="13">
        <v>95.04</v>
      </c>
      <c r="L35" s="3">
        <f t="shared" si="1"/>
        <v>0.44000000000001194</v>
      </c>
    </row>
    <row r="36" spans="1:12" x14ac:dyDescent="0.25">
      <c r="A36" s="34">
        <v>3080</v>
      </c>
      <c r="B36" t="s">
        <v>66</v>
      </c>
      <c r="C36" s="3">
        <v>88</v>
      </c>
      <c r="D36" s="29">
        <v>1.075</v>
      </c>
      <c r="E36" s="6">
        <v>94.6</v>
      </c>
      <c r="F36" s="4">
        <v>-3</v>
      </c>
      <c r="G36" s="6">
        <v>91.6</v>
      </c>
      <c r="H36" t="s">
        <v>76</v>
      </c>
      <c r="I36" s="1">
        <v>46074</v>
      </c>
      <c r="J36">
        <v>13</v>
      </c>
      <c r="K36" s="13">
        <v>95.04</v>
      </c>
      <c r="L36" s="3">
        <f t="shared" si="1"/>
        <v>0.44000000000001194</v>
      </c>
    </row>
    <row r="37" spans="1:12" x14ac:dyDescent="0.25">
      <c r="A37" s="34">
        <v>5134</v>
      </c>
      <c r="B37" t="s">
        <v>20</v>
      </c>
      <c r="C37" s="3">
        <v>82</v>
      </c>
      <c r="D37" s="29">
        <v>1.075</v>
      </c>
      <c r="E37" s="6">
        <v>88.149999999999991</v>
      </c>
      <c r="F37" s="4">
        <v>-3</v>
      </c>
      <c r="G37" s="6">
        <v>85.149999999999991</v>
      </c>
      <c r="H37" t="s">
        <v>76</v>
      </c>
      <c r="I37" s="1">
        <v>46074</v>
      </c>
      <c r="J37">
        <v>9</v>
      </c>
      <c r="K37" s="13">
        <v>88.56</v>
      </c>
      <c r="L37" s="3">
        <f t="shared" si="1"/>
        <v>0.4100000000000108</v>
      </c>
    </row>
    <row r="38" spans="1:12" x14ac:dyDescent="0.25">
      <c r="A38" s="34">
        <v>2796</v>
      </c>
      <c r="B38" t="s">
        <v>56</v>
      </c>
      <c r="C38" s="3">
        <v>82</v>
      </c>
      <c r="D38" s="29">
        <v>1.075</v>
      </c>
      <c r="E38" s="6">
        <v>88.149999999999991</v>
      </c>
      <c r="F38" s="4"/>
      <c r="G38" s="6">
        <v>88.149999999999991</v>
      </c>
      <c r="H38" t="s">
        <v>76</v>
      </c>
      <c r="I38" s="1">
        <v>46074</v>
      </c>
      <c r="J38">
        <v>16</v>
      </c>
      <c r="K38" s="13">
        <v>88.56</v>
      </c>
      <c r="L38" s="3">
        <f t="shared" si="1"/>
        <v>0.4100000000000108</v>
      </c>
    </row>
    <row r="39" spans="1:12" x14ac:dyDescent="0.25">
      <c r="A39" s="34">
        <v>2513</v>
      </c>
      <c r="B39" t="s">
        <v>25</v>
      </c>
      <c r="C39" s="3">
        <v>74</v>
      </c>
      <c r="D39" s="29">
        <v>1.075</v>
      </c>
      <c r="E39" s="6">
        <v>79.55</v>
      </c>
      <c r="F39" s="4"/>
      <c r="G39" s="6">
        <v>79.55</v>
      </c>
      <c r="H39" t="s">
        <v>76</v>
      </c>
      <c r="I39" s="1">
        <v>46074</v>
      </c>
      <c r="J39">
        <v>7</v>
      </c>
      <c r="K39" s="13">
        <v>79.92</v>
      </c>
      <c r="L39" s="3">
        <f t="shared" si="1"/>
        <v>0.37000000000000455</v>
      </c>
    </row>
    <row r="40" spans="1:12" x14ac:dyDescent="0.25">
      <c r="A40" s="34">
        <v>2542</v>
      </c>
      <c r="B40" t="s">
        <v>65</v>
      </c>
      <c r="C40" s="3">
        <v>72</v>
      </c>
      <c r="D40" s="29">
        <v>1.075</v>
      </c>
      <c r="E40" s="6">
        <v>77.399999999999991</v>
      </c>
      <c r="F40" s="4">
        <v>-3</v>
      </c>
      <c r="G40" s="6">
        <v>74.399999999999991</v>
      </c>
      <c r="H40" t="s">
        <v>76</v>
      </c>
      <c r="I40" s="1">
        <v>46074</v>
      </c>
      <c r="J40">
        <v>6</v>
      </c>
      <c r="K40" s="13">
        <v>77.760000000000005</v>
      </c>
      <c r="L40" s="3">
        <f t="shared" si="1"/>
        <v>0.36000000000001364</v>
      </c>
    </row>
    <row r="41" spans="1:12" x14ac:dyDescent="0.25">
      <c r="A41" s="34">
        <v>2790</v>
      </c>
      <c r="B41" t="s">
        <v>42</v>
      </c>
      <c r="C41" s="3">
        <v>66</v>
      </c>
      <c r="D41" s="29">
        <v>1.075</v>
      </c>
      <c r="E41" s="6">
        <v>70.95</v>
      </c>
      <c r="F41" s="4"/>
      <c r="G41" s="6">
        <v>70.95</v>
      </c>
      <c r="H41" t="s">
        <v>76</v>
      </c>
      <c r="I41" s="1">
        <v>46074</v>
      </c>
      <c r="J41">
        <v>21</v>
      </c>
      <c r="K41" s="13">
        <v>71.28</v>
      </c>
      <c r="L41" s="3">
        <f t="shared" si="1"/>
        <v>0.32999999999999829</v>
      </c>
    </row>
    <row r="42" spans="1:12" x14ac:dyDescent="0.25">
      <c r="A42" s="34">
        <v>5027</v>
      </c>
      <c r="B42" t="s">
        <v>57</v>
      </c>
      <c r="C42" s="3">
        <v>66</v>
      </c>
      <c r="D42" s="29">
        <v>1.075</v>
      </c>
      <c r="E42" s="6">
        <v>70.95</v>
      </c>
      <c r="F42" s="4">
        <v>-3</v>
      </c>
      <c r="G42" s="6">
        <v>67.95</v>
      </c>
      <c r="H42" t="s">
        <v>76</v>
      </c>
      <c r="I42" s="1">
        <v>46074</v>
      </c>
      <c r="J42">
        <v>10</v>
      </c>
      <c r="K42" s="13">
        <v>71.28</v>
      </c>
      <c r="L42" s="3">
        <f t="shared" si="1"/>
        <v>0.32999999999999829</v>
      </c>
    </row>
    <row r="43" spans="1:12" x14ac:dyDescent="0.25">
      <c r="A43" s="34">
        <v>2858</v>
      </c>
      <c r="B43" t="s">
        <v>52</v>
      </c>
      <c r="C43" s="3">
        <v>62</v>
      </c>
      <c r="D43" s="29">
        <v>1.075</v>
      </c>
      <c r="E43" s="6">
        <v>66.649999999999991</v>
      </c>
      <c r="F43" s="4"/>
      <c r="G43" s="6">
        <v>66.649999999999991</v>
      </c>
      <c r="H43" t="s">
        <v>76</v>
      </c>
      <c r="I43" s="1">
        <v>46074</v>
      </c>
      <c r="J43">
        <v>16</v>
      </c>
      <c r="K43" s="13">
        <v>66.959999999999994</v>
      </c>
      <c r="L43" s="3">
        <f t="shared" si="1"/>
        <v>0.31000000000000227</v>
      </c>
    </row>
    <row r="44" spans="1:12" x14ac:dyDescent="0.25">
      <c r="A44" s="34">
        <v>3066</v>
      </c>
      <c r="B44" t="s">
        <v>19</v>
      </c>
      <c r="C44" s="3">
        <v>54</v>
      </c>
      <c r="D44" s="29">
        <v>1.075</v>
      </c>
      <c r="E44" s="6">
        <v>58.05</v>
      </c>
      <c r="F44" s="4">
        <v>-3</v>
      </c>
      <c r="G44" s="6">
        <v>55.05</v>
      </c>
      <c r="H44" t="s">
        <v>76</v>
      </c>
      <c r="I44" s="1">
        <v>46074</v>
      </c>
      <c r="J44">
        <v>9</v>
      </c>
      <c r="K44" s="13">
        <v>58.32</v>
      </c>
      <c r="L44" s="3">
        <f t="shared" si="1"/>
        <v>0.27000000000000313</v>
      </c>
    </row>
    <row r="45" spans="1:12" x14ac:dyDescent="0.25">
      <c r="A45" s="34">
        <v>1120</v>
      </c>
      <c r="B45" t="s">
        <v>67</v>
      </c>
      <c r="C45" s="3">
        <v>54</v>
      </c>
      <c r="D45" s="29">
        <v>1.075</v>
      </c>
      <c r="E45" s="6">
        <v>58.05</v>
      </c>
      <c r="F45" s="4">
        <v>-3</v>
      </c>
      <c r="G45" s="6">
        <v>55.05</v>
      </c>
      <c r="H45" t="s">
        <v>76</v>
      </c>
      <c r="I45" s="1">
        <v>46074</v>
      </c>
      <c r="J45">
        <v>6</v>
      </c>
      <c r="K45" s="13">
        <v>58.32</v>
      </c>
      <c r="L45" s="3">
        <f t="shared" si="1"/>
        <v>0.27000000000000313</v>
      </c>
    </row>
    <row r="46" spans="1:12" x14ac:dyDescent="0.25">
      <c r="A46" s="34">
        <v>5029</v>
      </c>
      <c r="B46" t="s">
        <v>59</v>
      </c>
      <c r="C46" s="3">
        <v>52</v>
      </c>
      <c r="D46" s="29">
        <v>1.075</v>
      </c>
      <c r="E46" s="6">
        <v>55.9</v>
      </c>
      <c r="F46" s="4">
        <v>-3</v>
      </c>
      <c r="G46" s="6">
        <v>52.9</v>
      </c>
      <c r="H46" t="s">
        <v>76</v>
      </c>
      <c r="I46" s="1">
        <v>46074</v>
      </c>
      <c r="J46">
        <v>11</v>
      </c>
      <c r="K46" s="13">
        <v>56.16</v>
      </c>
      <c r="L46" s="3">
        <f t="shared" si="1"/>
        <v>0.25999999999999801</v>
      </c>
    </row>
    <row r="47" spans="1:12" x14ac:dyDescent="0.25">
      <c r="A47" s="34">
        <v>5039</v>
      </c>
      <c r="B47" t="s">
        <v>24</v>
      </c>
      <c r="C47" s="3">
        <v>49</v>
      </c>
      <c r="D47" s="5">
        <v>1.05</v>
      </c>
      <c r="E47" s="6">
        <v>51.45</v>
      </c>
      <c r="F47" s="4">
        <v>-3</v>
      </c>
      <c r="G47" s="6">
        <v>48.45</v>
      </c>
      <c r="H47" t="s">
        <v>76</v>
      </c>
      <c r="I47" s="1">
        <v>46074</v>
      </c>
      <c r="J47">
        <v>20</v>
      </c>
      <c r="K47" s="13">
        <v>49.98</v>
      </c>
      <c r="L47" s="3">
        <f t="shared" si="1"/>
        <v>-1.470000000000006</v>
      </c>
    </row>
    <row r="48" spans="1:12" x14ac:dyDescent="0.25">
      <c r="A48" s="34">
        <v>5033</v>
      </c>
      <c r="B48" t="s">
        <v>51</v>
      </c>
      <c r="C48" s="3">
        <v>47</v>
      </c>
      <c r="D48" s="5">
        <v>1.05</v>
      </c>
      <c r="E48" s="6">
        <v>49.35</v>
      </c>
      <c r="F48" s="4">
        <v>-3</v>
      </c>
      <c r="G48" s="6">
        <v>46.35</v>
      </c>
      <c r="H48" t="s">
        <v>76</v>
      </c>
      <c r="I48" s="1">
        <v>46074</v>
      </c>
      <c r="J48">
        <v>11</v>
      </c>
      <c r="K48" s="13">
        <v>47.94</v>
      </c>
      <c r="L48" s="3">
        <f t="shared" si="1"/>
        <v>-1.4100000000000037</v>
      </c>
    </row>
    <row r="49" spans="1:12" x14ac:dyDescent="0.25">
      <c r="A49" s="34">
        <v>4525</v>
      </c>
      <c r="B49" t="s">
        <v>50</v>
      </c>
      <c r="C49" s="3">
        <v>46</v>
      </c>
      <c r="D49" s="5">
        <v>1.05</v>
      </c>
      <c r="E49" s="6">
        <v>48.300000000000004</v>
      </c>
      <c r="F49" s="4">
        <v>-3</v>
      </c>
      <c r="G49" s="6">
        <v>45.300000000000004</v>
      </c>
      <c r="H49" t="s">
        <v>76</v>
      </c>
      <c r="I49" s="1">
        <v>46074</v>
      </c>
      <c r="J49">
        <v>11</v>
      </c>
      <c r="K49" s="13">
        <v>46.92</v>
      </c>
      <c r="L49" s="3">
        <f t="shared" si="1"/>
        <v>-1.3800000000000026</v>
      </c>
    </row>
    <row r="50" spans="1:12" x14ac:dyDescent="0.25">
      <c r="A50" s="34">
        <v>2595</v>
      </c>
      <c r="B50" t="s">
        <v>26</v>
      </c>
      <c r="C50" s="3">
        <v>45</v>
      </c>
      <c r="D50" s="5">
        <v>1.05</v>
      </c>
      <c r="E50" s="6">
        <v>47.25</v>
      </c>
      <c r="F50" s="4">
        <v>-3</v>
      </c>
      <c r="G50" s="6">
        <v>44.25</v>
      </c>
      <c r="H50" t="s">
        <v>76</v>
      </c>
      <c r="I50" s="1">
        <v>46074</v>
      </c>
      <c r="J50">
        <v>10</v>
      </c>
      <c r="K50" s="13">
        <v>45.9</v>
      </c>
      <c r="L50" s="3">
        <f t="shared" si="1"/>
        <v>-1.3500000000000014</v>
      </c>
    </row>
    <row r="51" spans="1:12" x14ac:dyDescent="0.25">
      <c r="A51" s="34">
        <v>2570</v>
      </c>
      <c r="B51" t="s">
        <v>47</v>
      </c>
      <c r="C51" s="3">
        <v>45</v>
      </c>
      <c r="D51" s="5">
        <v>1.05</v>
      </c>
      <c r="E51" s="6">
        <v>47.25</v>
      </c>
      <c r="F51" s="4"/>
      <c r="G51" s="6">
        <v>47.25</v>
      </c>
      <c r="H51" t="s">
        <v>76</v>
      </c>
      <c r="I51" s="1">
        <v>46074</v>
      </c>
      <c r="J51">
        <v>14</v>
      </c>
      <c r="K51" s="13">
        <v>45.9</v>
      </c>
      <c r="L51" s="3">
        <f t="shared" si="1"/>
        <v>-1.3500000000000014</v>
      </c>
    </row>
    <row r="52" spans="1:12" x14ac:dyDescent="0.25">
      <c r="A52" s="34">
        <v>3259</v>
      </c>
      <c r="B52" t="s">
        <v>21</v>
      </c>
      <c r="C52" s="3">
        <v>37</v>
      </c>
      <c r="D52" s="5">
        <v>1.05</v>
      </c>
      <c r="E52" s="6">
        <v>38.85</v>
      </c>
      <c r="F52" s="4">
        <v>-3</v>
      </c>
      <c r="G52" s="6">
        <v>35.840000000000003</v>
      </c>
      <c r="H52" t="s">
        <v>76</v>
      </c>
      <c r="I52" s="1">
        <v>46074</v>
      </c>
      <c r="J52">
        <v>12</v>
      </c>
      <c r="K52" s="13">
        <v>37.74</v>
      </c>
      <c r="L52" s="3">
        <f t="shared" si="1"/>
        <v>-1.1099999999999994</v>
      </c>
    </row>
    <row r="53" spans="1:12" x14ac:dyDescent="0.25">
      <c r="A53" s="40">
        <v>3151</v>
      </c>
      <c r="B53" s="41" t="s">
        <v>55</v>
      </c>
      <c r="C53" s="42">
        <v>0</v>
      </c>
      <c r="D53" s="43">
        <v>1.05</v>
      </c>
      <c r="E53" s="42">
        <v>0</v>
      </c>
      <c r="F53" s="44"/>
      <c r="G53" s="42">
        <v>0</v>
      </c>
      <c r="H53" s="45" t="s">
        <v>98</v>
      </c>
      <c r="I53" s="46">
        <v>46074</v>
      </c>
      <c r="J53" s="41">
        <v>7</v>
      </c>
      <c r="K53" s="47">
        <v>0</v>
      </c>
      <c r="L53" s="42">
        <f t="shared" si="1"/>
        <v>0</v>
      </c>
    </row>
    <row r="54" spans="1:12" x14ac:dyDescent="0.25">
      <c r="A54" s="34">
        <v>3261</v>
      </c>
      <c r="B54" t="s">
        <v>22</v>
      </c>
      <c r="C54" s="3">
        <v>33</v>
      </c>
      <c r="D54" s="5">
        <v>1.05</v>
      </c>
      <c r="E54" s="6">
        <v>34.65</v>
      </c>
      <c r="F54" s="4">
        <v>-3</v>
      </c>
      <c r="G54" s="6">
        <v>31.65</v>
      </c>
      <c r="H54" t="s">
        <v>76</v>
      </c>
      <c r="I54" s="1">
        <v>46074</v>
      </c>
      <c r="J54">
        <v>6</v>
      </c>
      <c r="K54" s="13">
        <v>33.659999999999997</v>
      </c>
      <c r="L54" s="3">
        <f t="shared" si="1"/>
        <v>-0.99000000000000199</v>
      </c>
    </row>
    <row r="55" spans="1:12" x14ac:dyDescent="0.25">
      <c r="A55" s="34">
        <v>2571</v>
      </c>
      <c r="B55" t="s">
        <v>61</v>
      </c>
      <c r="C55" s="3">
        <v>31</v>
      </c>
      <c r="D55" s="5">
        <v>1.05</v>
      </c>
      <c r="E55" s="6">
        <v>32.550000000000004</v>
      </c>
      <c r="F55" s="4"/>
      <c r="G55" s="6">
        <v>32.550000000000004</v>
      </c>
      <c r="H55" t="s">
        <v>76</v>
      </c>
      <c r="I55" s="1">
        <v>46074</v>
      </c>
      <c r="J55">
        <v>17</v>
      </c>
      <c r="K55" s="13">
        <v>31.62</v>
      </c>
      <c r="L55" s="3">
        <f t="shared" si="1"/>
        <v>-0.93000000000000327</v>
      </c>
    </row>
    <row r="56" spans="1:12" x14ac:dyDescent="0.25">
      <c r="A56" s="34">
        <v>2597</v>
      </c>
      <c r="B56" t="s">
        <v>27</v>
      </c>
      <c r="C56" s="3">
        <v>30</v>
      </c>
      <c r="D56" s="5">
        <v>1.05</v>
      </c>
      <c r="E56" s="6">
        <v>31.5</v>
      </c>
      <c r="F56" s="4">
        <v>-3</v>
      </c>
      <c r="G56" s="6">
        <v>28.5</v>
      </c>
      <c r="H56" t="s">
        <v>76</v>
      </c>
      <c r="I56" s="1">
        <v>46074</v>
      </c>
      <c r="J56">
        <v>11</v>
      </c>
      <c r="K56" s="13">
        <v>30.6</v>
      </c>
      <c r="L56" s="3">
        <f t="shared" si="1"/>
        <v>-0.89999999999999858</v>
      </c>
    </row>
    <row r="57" spans="1:12" x14ac:dyDescent="0.25">
      <c r="A57" s="34">
        <v>3084</v>
      </c>
      <c r="B57" t="s">
        <v>41</v>
      </c>
      <c r="C57" s="3">
        <v>29</v>
      </c>
      <c r="D57" s="5">
        <v>1.05</v>
      </c>
      <c r="E57" s="6">
        <v>30.450000000000003</v>
      </c>
      <c r="F57" s="4">
        <v>-3</v>
      </c>
      <c r="G57" s="6">
        <v>27.450000000000003</v>
      </c>
      <c r="H57" t="s">
        <v>76</v>
      </c>
      <c r="I57" s="1">
        <v>46074</v>
      </c>
      <c r="J57">
        <v>8</v>
      </c>
      <c r="K57" s="13">
        <v>29.58</v>
      </c>
      <c r="L57" s="3">
        <f t="shared" si="1"/>
        <v>-0.87000000000000455</v>
      </c>
    </row>
    <row r="58" spans="1:12" x14ac:dyDescent="0.25">
      <c r="A58" s="34">
        <v>2612</v>
      </c>
      <c r="B58" t="s">
        <v>48</v>
      </c>
      <c r="C58" s="3">
        <v>26</v>
      </c>
      <c r="D58" s="5">
        <v>1.05</v>
      </c>
      <c r="E58" s="6">
        <v>27.3</v>
      </c>
      <c r="F58" s="4"/>
      <c r="G58" s="6">
        <v>27.3</v>
      </c>
      <c r="H58" t="s">
        <v>76</v>
      </c>
      <c r="I58" s="1">
        <v>46074</v>
      </c>
      <c r="J58">
        <v>15</v>
      </c>
      <c r="K58" s="13">
        <v>26.52</v>
      </c>
      <c r="L58" s="3">
        <f t="shared" si="1"/>
        <v>-0.78000000000000114</v>
      </c>
    </row>
    <row r="59" spans="1:12" x14ac:dyDescent="0.25">
      <c r="A59" s="34">
        <v>2813</v>
      </c>
      <c r="B59" t="s">
        <v>17</v>
      </c>
      <c r="C59" s="3">
        <v>19</v>
      </c>
      <c r="D59" s="5">
        <v>1.05</v>
      </c>
      <c r="E59" s="6">
        <v>19.95</v>
      </c>
      <c r="F59" s="4"/>
      <c r="G59" s="6">
        <v>19.95</v>
      </c>
      <c r="H59" t="s">
        <v>76</v>
      </c>
      <c r="I59" s="1">
        <v>46074</v>
      </c>
      <c r="J59">
        <v>6</v>
      </c>
      <c r="K59" s="13">
        <v>19.38</v>
      </c>
      <c r="L59" s="3">
        <f t="shared" si="1"/>
        <v>-0.57000000000000028</v>
      </c>
    </row>
    <row r="60" spans="1:12" x14ac:dyDescent="0.25">
      <c r="A60" s="34">
        <v>2732</v>
      </c>
      <c r="B60" t="s">
        <v>49</v>
      </c>
      <c r="C60" s="3">
        <v>16</v>
      </c>
      <c r="D60" s="5">
        <v>1.05</v>
      </c>
      <c r="E60" s="6">
        <v>16.8</v>
      </c>
      <c r="F60" s="4"/>
      <c r="G60" s="6">
        <v>16.8</v>
      </c>
      <c r="H60" t="s">
        <v>76</v>
      </c>
      <c r="I60" s="1">
        <v>46074</v>
      </c>
      <c r="J60">
        <v>8</v>
      </c>
      <c r="K60" s="13">
        <v>16.2</v>
      </c>
      <c r="L60" s="3">
        <f t="shared" si="1"/>
        <v>-0.60000000000000142</v>
      </c>
    </row>
    <row r="62" spans="1:12" x14ac:dyDescent="0.25">
      <c r="A62" s="35">
        <f>COUNTA(A2:A60)</f>
        <v>59</v>
      </c>
      <c r="B62" s="11" t="s">
        <v>8</v>
      </c>
      <c r="C62" s="7">
        <f>SUM(C2:C60)</f>
        <v>16993</v>
      </c>
      <c r="D62" s="12"/>
      <c r="E62" s="30">
        <f>+SUM(E2:E61)</f>
        <v>18601.045000000002</v>
      </c>
      <c r="F62" s="7">
        <f>SUM(F2:F60)</f>
        <v>-84</v>
      </c>
      <c r="G62" s="8">
        <f>+SUM(G2:G60)</f>
        <v>18517.035000000003</v>
      </c>
      <c r="H62" s="20">
        <f>COUNTA(H2:H60)-1</f>
        <v>58</v>
      </c>
      <c r="L62" s="36">
        <f>SUM(L2:L60)</f>
        <v>174.24499999999867</v>
      </c>
    </row>
  </sheetData>
  <autoFilter ref="A1:J60" xr:uid="{036A9A4D-19B6-4A9A-ACC9-38635DB5324D}"/>
  <sortState xmlns:xlrd2="http://schemas.microsoft.com/office/spreadsheetml/2017/richdata2" ref="A2:C60">
    <sortCondition descending="1" ref="C2:C6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75C4-8176-4F50-9A39-5C647C8CD5F9}">
  <sheetPr codeName="Sheet3"/>
  <dimension ref="A1:L22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6650</v>
      </c>
      <c r="B2" t="s">
        <v>81</v>
      </c>
      <c r="C2" s="37">
        <v>725</v>
      </c>
      <c r="D2" s="5">
        <v>1.1000000000000001</v>
      </c>
      <c r="E2" s="6">
        <v>797.50000000000011</v>
      </c>
      <c r="F2" s="4">
        <v>-3</v>
      </c>
      <c r="G2" s="6">
        <v>794.50000000000011</v>
      </c>
      <c r="H2" t="s">
        <v>76</v>
      </c>
      <c r="I2" s="1">
        <v>46082</v>
      </c>
      <c r="J2">
        <v>17</v>
      </c>
      <c r="K2" s="38">
        <v>804.75</v>
      </c>
      <c r="L2" s="3">
        <f t="shared" ref="L2:L20" si="0">+K2-E2</f>
        <v>7.2499999999998863</v>
      </c>
    </row>
    <row r="3" spans="1:12" x14ac:dyDescent="0.25">
      <c r="A3">
        <v>3455</v>
      </c>
      <c r="B3" t="s">
        <v>97</v>
      </c>
      <c r="C3" s="37">
        <v>675</v>
      </c>
      <c r="D3" s="5">
        <v>1.1000000000000001</v>
      </c>
      <c r="E3" s="6">
        <v>742.50000000000011</v>
      </c>
      <c r="F3" s="4"/>
      <c r="G3" s="6">
        <v>742.50000000000011</v>
      </c>
      <c r="H3" t="s">
        <v>76</v>
      </c>
      <c r="I3" s="1">
        <v>46082</v>
      </c>
      <c r="J3">
        <v>23</v>
      </c>
      <c r="K3" s="38">
        <v>749.25</v>
      </c>
      <c r="L3" s="3">
        <f t="shared" si="0"/>
        <v>6.7499999999998863</v>
      </c>
    </row>
    <row r="4" spans="1:12" x14ac:dyDescent="0.25">
      <c r="A4">
        <v>3822</v>
      </c>
      <c r="B4" t="s">
        <v>79</v>
      </c>
      <c r="C4" s="37">
        <v>320</v>
      </c>
      <c r="D4" s="5">
        <v>1.1000000000000001</v>
      </c>
      <c r="E4" s="6">
        <v>352</v>
      </c>
      <c r="F4" s="4">
        <v>-3</v>
      </c>
      <c r="G4" s="6">
        <v>349</v>
      </c>
      <c r="H4" t="s">
        <v>76</v>
      </c>
      <c r="I4" s="1">
        <v>46082</v>
      </c>
      <c r="J4">
        <v>18</v>
      </c>
      <c r="K4" s="38">
        <v>355.2</v>
      </c>
      <c r="L4" s="3">
        <f t="shared" si="0"/>
        <v>3.1999999999999886</v>
      </c>
    </row>
    <row r="5" spans="1:12" x14ac:dyDescent="0.25">
      <c r="A5">
        <v>1791</v>
      </c>
      <c r="B5" t="s">
        <v>94</v>
      </c>
      <c r="C5" s="37">
        <v>250</v>
      </c>
      <c r="D5" s="5">
        <v>1.1000000000000001</v>
      </c>
      <c r="E5" s="6">
        <v>275</v>
      </c>
      <c r="F5" s="4">
        <v>-3</v>
      </c>
      <c r="G5" s="6">
        <v>272</v>
      </c>
      <c r="H5" t="s">
        <v>76</v>
      </c>
      <c r="I5" s="1">
        <v>46082</v>
      </c>
      <c r="J5">
        <v>13</v>
      </c>
      <c r="K5" s="38">
        <v>277.5</v>
      </c>
      <c r="L5" s="3">
        <f t="shared" si="0"/>
        <v>2.5</v>
      </c>
    </row>
    <row r="6" spans="1:12" x14ac:dyDescent="0.25">
      <c r="A6">
        <v>3824</v>
      </c>
      <c r="B6" t="s">
        <v>89</v>
      </c>
      <c r="C6" s="37">
        <v>220</v>
      </c>
      <c r="D6" s="5">
        <v>1.1000000000000001</v>
      </c>
      <c r="E6" s="6">
        <v>242.00000000000003</v>
      </c>
      <c r="F6" s="4">
        <v>-3</v>
      </c>
      <c r="G6" s="6">
        <v>239.00000000000003</v>
      </c>
      <c r="H6" t="s">
        <v>76</v>
      </c>
      <c r="I6" s="1">
        <v>46082</v>
      </c>
      <c r="J6">
        <v>21</v>
      </c>
      <c r="K6" s="38">
        <v>244.2</v>
      </c>
      <c r="L6" s="3">
        <f t="shared" si="0"/>
        <v>2.1999999999999602</v>
      </c>
    </row>
    <row r="7" spans="1:12" x14ac:dyDescent="0.25">
      <c r="A7">
        <v>6649</v>
      </c>
      <c r="B7" t="s">
        <v>96</v>
      </c>
      <c r="C7" s="37">
        <v>210</v>
      </c>
      <c r="D7" s="5">
        <v>1.1000000000000001</v>
      </c>
      <c r="E7" s="6">
        <v>231.00000000000003</v>
      </c>
      <c r="F7" s="4">
        <v>-3</v>
      </c>
      <c r="G7" s="6">
        <v>228.00000000000003</v>
      </c>
      <c r="H7" t="s">
        <v>76</v>
      </c>
      <c r="I7" s="1">
        <v>46082</v>
      </c>
      <c r="J7">
        <v>26</v>
      </c>
      <c r="K7" s="38">
        <v>233.1</v>
      </c>
      <c r="L7" s="3">
        <f t="shared" si="0"/>
        <v>2.0999999999999659</v>
      </c>
    </row>
    <row r="8" spans="1:12" x14ac:dyDescent="0.25">
      <c r="A8">
        <v>3505</v>
      </c>
      <c r="B8" t="s">
        <v>86</v>
      </c>
      <c r="C8" s="37">
        <v>200</v>
      </c>
      <c r="D8" s="5">
        <v>1.1000000000000001</v>
      </c>
      <c r="E8" s="6">
        <v>220.00000000000003</v>
      </c>
      <c r="F8" s="4">
        <v>-3</v>
      </c>
      <c r="G8" s="6">
        <v>217.00000000000003</v>
      </c>
      <c r="H8" t="s">
        <v>76</v>
      </c>
      <c r="I8" s="1">
        <v>46082</v>
      </c>
      <c r="J8">
        <v>10</v>
      </c>
      <c r="K8" s="38">
        <v>222</v>
      </c>
      <c r="L8" s="3">
        <f t="shared" si="0"/>
        <v>1.9999999999999716</v>
      </c>
    </row>
    <row r="9" spans="1:12" x14ac:dyDescent="0.25">
      <c r="A9">
        <v>4244</v>
      </c>
      <c r="B9" t="s">
        <v>92</v>
      </c>
      <c r="C9" s="37">
        <v>200</v>
      </c>
      <c r="D9" s="5">
        <v>1.1000000000000001</v>
      </c>
      <c r="E9" s="6">
        <v>220.00000000000003</v>
      </c>
      <c r="F9" s="4">
        <v>-3</v>
      </c>
      <c r="G9" s="6">
        <v>217.00000000000003</v>
      </c>
      <c r="H9" t="s">
        <v>76</v>
      </c>
      <c r="I9" s="1">
        <v>46082</v>
      </c>
      <c r="J9">
        <v>21</v>
      </c>
      <c r="K9" s="38">
        <v>222</v>
      </c>
      <c r="L9" s="3">
        <f t="shared" si="0"/>
        <v>1.9999999999999716</v>
      </c>
    </row>
    <row r="10" spans="1:12" x14ac:dyDescent="0.25">
      <c r="A10">
        <v>2891</v>
      </c>
      <c r="B10" t="s">
        <v>91</v>
      </c>
      <c r="C10" s="37">
        <v>165</v>
      </c>
      <c r="D10" s="29">
        <v>1.075</v>
      </c>
      <c r="E10" s="6">
        <v>177.39</v>
      </c>
      <c r="F10" s="4">
        <v>-3</v>
      </c>
      <c r="G10" s="6">
        <v>174.39</v>
      </c>
      <c r="H10" t="s">
        <v>76</v>
      </c>
      <c r="I10" s="1">
        <v>46082</v>
      </c>
      <c r="J10">
        <v>7</v>
      </c>
      <c r="K10" s="38">
        <v>181.5</v>
      </c>
      <c r="L10" s="3">
        <f t="shared" si="0"/>
        <v>4.1100000000000136</v>
      </c>
    </row>
    <row r="11" spans="1:12" x14ac:dyDescent="0.25">
      <c r="A11">
        <v>3942</v>
      </c>
      <c r="B11" t="s">
        <v>82</v>
      </c>
      <c r="C11" s="37">
        <v>160</v>
      </c>
      <c r="D11" s="29">
        <v>1.075</v>
      </c>
      <c r="E11" s="6">
        <v>172</v>
      </c>
      <c r="F11" s="4">
        <v>-3</v>
      </c>
      <c r="G11" s="6">
        <v>169</v>
      </c>
      <c r="H11" t="s">
        <v>76</v>
      </c>
      <c r="I11" s="1">
        <v>46082</v>
      </c>
      <c r="J11">
        <v>21</v>
      </c>
      <c r="K11" s="38">
        <v>176</v>
      </c>
      <c r="L11" s="3">
        <f t="shared" si="0"/>
        <v>4</v>
      </c>
    </row>
    <row r="12" spans="1:12" x14ac:dyDescent="0.25">
      <c r="A12">
        <v>3935</v>
      </c>
      <c r="B12" t="s">
        <v>83</v>
      </c>
      <c r="C12" s="37">
        <v>150</v>
      </c>
      <c r="D12" s="29">
        <v>1.075</v>
      </c>
      <c r="E12" s="6">
        <v>161.25</v>
      </c>
      <c r="F12" s="4">
        <v>-3</v>
      </c>
      <c r="G12" s="6">
        <v>158.25</v>
      </c>
      <c r="H12" t="s">
        <v>76</v>
      </c>
      <c r="I12" s="1">
        <v>46082</v>
      </c>
      <c r="J12">
        <v>16</v>
      </c>
      <c r="K12" s="38">
        <v>165</v>
      </c>
      <c r="L12" s="3">
        <f t="shared" si="0"/>
        <v>3.75</v>
      </c>
    </row>
    <row r="13" spans="1:12" x14ac:dyDescent="0.25">
      <c r="A13">
        <v>4074</v>
      </c>
      <c r="B13" t="s">
        <v>88</v>
      </c>
      <c r="C13" s="37">
        <v>150</v>
      </c>
      <c r="D13" s="29">
        <v>1.075</v>
      </c>
      <c r="E13" s="6">
        <v>161.25</v>
      </c>
      <c r="F13" s="4">
        <v>-3</v>
      </c>
      <c r="G13" s="6">
        <v>158.25</v>
      </c>
      <c r="H13" t="s">
        <v>76</v>
      </c>
      <c r="I13" s="1">
        <v>46082</v>
      </c>
      <c r="J13">
        <v>10</v>
      </c>
      <c r="K13" s="38">
        <v>165</v>
      </c>
      <c r="L13" s="3">
        <f t="shared" si="0"/>
        <v>3.75</v>
      </c>
    </row>
    <row r="14" spans="1:12" x14ac:dyDescent="0.25">
      <c r="A14">
        <v>4108</v>
      </c>
      <c r="B14" t="s">
        <v>90</v>
      </c>
      <c r="C14" s="37">
        <v>135</v>
      </c>
      <c r="D14" s="29">
        <v>1.075</v>
      </c>
      <c r="E14" s="6">
        <v>145.125</v>
      </c>
      <c r="F14" s="4">
        <v>-3</v>
      </c>
      <c r="G14" s="6">
        <v>142.125</v>
      </c>
      <c r="H14" t="s">
        <v>76</v>
      </c>
      <c r="I14" s="1">
        <v>46082</v>
      </c>
      <c r="J14">
        <v>11</v>
      </c>
      <c r="K14" s="38">
        <v>148.5</v>
      </c>
      <c r="L14" s="3">
        <f t="shared" si="0"/>
        <v>3.375</v>
      </c>
    </row>
    <row r="15" spans="1:12" x14ac:dyDescent="0.25">
      <c r="A15">
        <v>3913</v>
      </c>
      <c r="B15" t="s">
        <v>87</v>
      </c>
      <c r="C15" s="37">
        <v>125</v>
      </c>
      <c r="D15" s="29">
        <v>1.075</v>
      </c>
      <c r="E15" s="6">
        <v>134.38999999999999</v>
      </c>
      <c r="F15" s="4">
        <v>-3</v>
      </c>
      <c r="G15" s="6">
        <v>131.38999999999999</v>
      </c>
      <c r="H15" t="s">
        <v>76</v>
      </c>
      <c r="I15" s="1">
        <v>46082</v>
      </c>
      <c r="J15">
        <v>7</v>
      </c>
      <c r="K15" s="38">
        <v>137.5</v>
      </c>
      <c r="L15" s="3">
        <f t="shared" si="0"/>
        <v>3.1100000000000136</v>
      </c>
    </row>
    <row r="16" spans="1:12" x14ac:dyDescent="0.25">
      <c r="A16">
        <v>3210</v>
      </c>
      <c r="B16" t="s">
        <v>80</v>
      </c>
      <c r="C16" s="37">
        <v>88</v>
      </c>
      <c r="D16" s="29">
        <v>1.075</v>
      </c>
      <c r="E16" s="6">
        <v>94.6</v>
      </c>
      <c r="F16" s="4">
        <v>-3</v>
      </c>
      <c r="G16" s="6">
        <v>91.6</v>
      </c>
      <c r="H16" t="s">
        <v>76</v>
      </c>
      <c r="I16" s="1">
        <v>46082</v>
      </c>
      <c r="J16">
        <v>22</v>
      </c>
      <c r="K16" s="38">
        <v>95.04</v>
      </c>
      <c r="L16" s="3">
        <f t="shared" si="0"/>
        <v>0.44000000000001194</v>
      </c>
    </row>
    <row r="17" spans="1:12" x14ac:dyDescent="0.25">
      <c r="A17">
        <v>3347</v>
      </c>
      <c r="B17" t="s">
        <v>95</v>
      </c>
      <c r="C17" s="37">
        <v>78</v>
      </c>
      <c r="D17" s="29">
        <v>1.075</v>
      </c>
      <c r="E17" s="6">
        <v>83.85</v>
      </c>
      <c r="F17" s="4">
        <v>-3</v>
      </c>
      <c r="G17" s="6">
        <v>80.849999999999994</v>
      </c>
      <c r="H17" t="s">
        <v>76</v>
      </c>
      <c r="I17" s="1">
        <v>46082</v>
      </c>
      <c r="J17">
        <v>8</v>
      </c>
      <c r="K17" s="38">
        <v>84.24</v>
      </c>
      <c r="L17" s="3">
        <f t="shared" si="0"/>
        <v>0.39000000000000057</v>
      </c>
    </row>
    <row r="18" spans="1:12" x14ac:dyDescent="0.25">
      <c r="A18">
        <v>6651</v>
      </c>
      <c r="B18" t="s">
        <v>93</v>
      </c>
      <c r="C18" s="37">
        <v>76</v>
      </c>
      <c r="D18" s="29">
        <v>1.075</v>
      </c>
      <c r="E18" s="6">
        <v>81.7</v>
      </c>
      <c r="F18" s="4">
        <v>-3</v>
      </c>
      <c r="G18" s="6">
        <v>78.7</v>
      </c>
      <c r="H18" t="s">
        <v>76</v>
      </c>
      <c r="I18" s="1">
        <v>46082</v>
      </c>
      <c r="J18">
        <v>19</v>
      </c>
      <c r="K18" s="38">
        <v>82.08</v>
      </c>
      <c r="L18" s="3">
        <f t="shared" si="0"/>
        <v>0.37999999999999545</v>
      </c>
    </row>
    <row r="19" spans="1:12" x14ac:dyDescent="0.25">
      <c r="A19">
        <v>3555</v>
      </c>
      <c r="B19" t="s">
        <v>85</v>
      </c>
      <c r="C19" s="37">
        <v>52</v>
      </c>
      <c r="D19" s="29">
        <v>1.075</v>
      </c>
      <c r="E19" s="6">
        <v>55.9</v>
      </c>
      <c r="F19" s="4"/>
      <c r="G19" s="6">
        <v>55.9</v>
      </c>
      <c r="H19" t="s">
        <v>76</v>
      </c>
      <c r="I19" s="1">
        <v>46082</v>
      </c>
      <c r="J19">
        <v>7</v>
      </c>
      <c r="K19" s="38">
        <v>56.16</v>
      </c>
      <c r="L19" s="3">
        <f t="shared" si="0"/>
        <v>0.25999999999999801</v>
      </c>
    </row>
    <row r="20" spans="1:12" x14ac:dyDescent="0.25">
      <c r="A20">
        <v>4551</v>
      </c>
      <c r="B20" t="s">
        <v>84</v>
      </c>
      <c r="C20" s="37">
        <v>46</v>
      </c>
      <c r="D20" s="5">
        <v>1.05</v>
      </c>
      <c r="E20" s="6">
        <v>48.300000000000004</v>
      </c>
      <c r="F20" s="4">
        <v>-3</v>
      </c>
      <c r="G20" s="6">
        <v>45.300000000000004</v>
      </c>
      <c r="H20" t="s">
        <v>76</v>
      </c>
      <c r="I20" s="1">
        <v>46082</v>
      </c>
      <c r="J20">
        <v>10</v>
      </c>
      <c r="K20" s="38">
        <v>46.92</v>
      </c>
      <c r="L20" s="3">
        <f t="shared" si="0"/>
        <v>-1.3800000000000026</v>
      </c>
    </row>
    <row r="22" spans="1:12" x14ac:dyDescent="0.25">
      <c r="A22" s="35">
        <f>COUNTA(A2:A20)</f>
        <v>19</v>
      </c>
      <c r="B22" s="11" t="s">
        <v>8</v>
      </c>
      <c r="C22" s="7">
        <f>SUM(C2:C20)</f>
        <v>4025</v>
      </c>
      <c r="D22" s="12"/>
      <c r="E22" s="30">
        <f>+SUM(E2:E21)</f>
        <v>4395.7550000000001</v>
      </c>
      <c r="F22" s="7">
        <f>SUM(F2:F20)</f>
        <v>-51</v>
      </c>
      <c r="G22" s="8">
        <f>+SUM(G2:G20)</f>
        <v>4344.7549999999992</v>
      </c>
      <c r="H22" s="20">
        <f>COUNTA(H2:H20)</f>
        <v>19</v>
      </c>
      <c r="L22" s="36">
        <f>SUM(L2:L20)</f>
        <v>50.184999999999661</v>
      </c>
    </row>
  </sheetData>
  <autoFilter ref="A1:L20" xr:uid="{636175C4-8176-4F50-9A39-5C647C8CD5F9}"/>
  <sortState xmlns:xlrd2="http://schemas.microsoft.com/office/spreadsheetml/2017/richdata2" ref="A2:L20">
    <sortCondition descending="1" ref="C2:C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21F2-0FA6-4A9D-AF1C-48B7AF484924}">
  <sheetPr codeName="Sheet4"/>
  <dimension ref="A1:L81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1209</v>
      </c>
      <c r="B2" t="s">
        <v>110</v>
      </c>
      <c r="C2" s="37">
        <v>800</v>
      </c>
      <c r="D2" s="49">
        <v>1.1000000000000001</v>
      </c>
      <c r="E2" s="6">
        <v>880.00000000000011</v>
      </c>
      <c r="F2" s="50">
        <v>-3</v>
      </c>
      <c r="G2" s="6">
        <v>877.00000000000011</v>
      </c>
      <c r="H2" t="s">
        <v>177</v>
      </c>
      <c r="I2" s="1">
        <v>46103</v>
      </c>
      <c r="J2">
        <v>17</v>
      </c>
      <c r="K2" s="38">
        <v>888</v>
      </c>
      <c r="L2" s="3">
        <f t="shared" ref="L2:L33" si="0">+K2-E2</f>
        <v>7.9999999999998863</v>
      </c>
    </row>
    <row r="3" spans="1:12" x14ac:dyDescent="0.25">
      <c r="A3">
        <v>4461</v>
      </c>
      <c r="B3" t="s">
        <v>137</v>
      </c>
      <c r="C3" s="37">
        <v>210</v>
      </c>
      <c r="D3" s="49">
        <v>1.1000000000000001</v>
      </c>
      <c r="E3" s="6">
        <v>231.00000000000003</v>
      </c>
      <c r="F3" s="50">
        <v>-3</v>
      </c>
      <c r="G3" s="6">
        <v>228.00000000000003</v>
      </c>
      <c r="H3" t="s">
        <v>177</v>
      </c>
      <c r="I3" s="1">
        <v>46103</v>
      </c>
      <c r="J3">
        <v>16</v>
      </c>
      <c r="K3" s="38">
        <v>233.1</v>
      </c>
      <c r="L3" s="3">
        <f t="shared" si="0"/>
        <v>2.0999999999999659</v>
      </c>
    </row>
    <row r="4" spans="1:12" x14ac:dyDescent="0.25">
      <c r="A4">
        <v>2627</v>
      </c>
      <c r="B4" t="s">
        <v>106</v>
      </c>
      <c r="C4" s="37">
        <v>195</v>
      </c>
      <c r="D4" s="49">
        <v>1.075</v>
      </c>
      <c r="E4" s="6">
        <v>209.63</v>
      </c>
      <c r="F4" s="50">
        <v>-3</v>
      </c>
      <c r="G4" s="6">
        <v>206.63</v>
      </c>
      <c r="H4" t="s">
        <v>177</v>
      </c>
      <c r="I4" s="1">
        <v>46103</v>
      </c>
      <c r="J4">
        <v>16</v>
      </c>
      <c r="K4" s="38">
        <v>214.5</v>
      </c>
      <c r="L4" s="3">
        <f t="shared" si="0"/>
        <v>4.8700000000000045</v>
      </c>
    </row>
    <row r="5" spans="1:12" x14ac:dyDescent="0.25">
      <c r="A5">
        <v>6552</v>
      </c>
      <c r="B5" t="s">
        <v>114</v>
      </c>
      <c r="C5" s="37">
        <v>165</v>
      </c>
      <c r="D5" s="49">
        <v>1.075</v>
      </c>
      <c r="E5" s="6">
        <v>177.375</v>
      </c>
      <c r="F5" s="50"/>
      <c r="G5" s="6">
        <v>177.375</v>
      </c>
      <c r="H5" t="s">
        <v>177</v>
      </c>
      <c r="I5" s="1">
        <v>46103</v>
      </c>
      <c r="J5">
        <v>10</v>
      </c>
      <c r="K5" s="38">
        <v>181.5</v>
      </c>
      <c r="L5" s="3">
        <f t="shared" si="0"/>
        <v>4.125</v>
      </c>
    </row>
    <row r="6" spans="1:12" x14ac:dyDescent="0.25">
      <c r="A6">
        <v>4209</v>
      </c>
      <c r="B6" t="s">
        <v>153</v>
      </c>
      <c r="C6" s="37">
        <v>96</v>
      </c>
      <c r="D6" s="49">
        <v>1.075</v>
      </c>
      <c r="E6" s="6">
        <v>103.19999999999999</v>
      </c>
      <c r="F6" s="50">
        <v>-3</v>
      </c>
      <c r="G6" s="6">
        <v>100.19999999999999</v>
      </c>
      <c r="H6" t="s">
        <v>177</v>
      </c>
      <c r="I6" s="1">
        <v>46103</v>
      </c>
      <c r="J6">
        <v>14</v>
      </c>
      <c r="K6" s="38">
        <v>103.68</v>
      </c>
      <c r="L6" s="3">
        <f t="shared" si="0"/>
        <v>0.48000000000001819</v>
      </c>
    </row>
    <row r="7" spans="1:12" x14ac:dyDescent="0.25">
      <c r="A7">
        <v>2759</v>
      </c>
      <c r="B7" t="s">
        <v>136</v>
      </c>
      <c r="C7" s="37">
        <v>84</v>
      </c>
      <c r="D7" s="49">
        <v>1.075</v>
      </c>
      <c r="E7" s="6">
        <v>90.3</v>
      </c>
      <c r="F7" s="50">
        <v>-3</v>
      </c>
      <c r="G7" s="6">
        <v>87.3</v>
      </c>
      <c r="H7" t="s">
        <v>177</v>
      </c>
      <c r="I7" s="1">
        <v>46103</v>
      </c>
      <c r="J7">
        <v>15</v>
      </c>
      <c r="K7" s="38">
        <v>90.72</v>
      </c>
      <c r="L7" s="3">
        <f t="shared" si="0"/>
        <v>0.42000000000000171</v>
      </c>
    </row>
    <row r="8" spans="1:12" x14ac:dyDescent="0.25">
      <c r="A8">
        <v>4319</v>
      </c>
      <c r="B8" t="s">
        <v>146</v>
      </c>
      <c r="C8" s="37">
        <v>84</v>
      </c>
      <c r="D8" s="49">
        <v>1.075</v>
      </c>
      <c r="E8" s="6">
        <v>90.3</v>
      </c>
      <c r="F8" s="50">
        <v>-3</v>
      </c>
      <c r="G8" s="6">
        <v>87.3</v>
      </c>
      <c r="H8" t="s">
        <v>177</v>
      </c>
      <c r="I8" s="1">
        <v>46103</v>
      </c>
      <c r="J8">
        <v>21</v>
      </c>
      <c r="K8" s="38">
        <v>90.72</v>
      </c>
      <c r="L8" s="3">
        <f t="shared" si="0"/>
        <v>0.42000000000000171</v>
      </c>
    </row>
    <row r="9" spans="1:12" x14ac:dyDescent="0.25">
      <c r="A9">
        <v>179</v>
      </c>
      <c r="B9" t="s">
        <v>175</v>
      </c>
      <c r="C9" s="37">
        <v>84</v>
      </c>
      <c r="D9" s="49">
        <v>1.075</v>
      </c>
      <c r="E9" s="6">
        <v>90.3</v>
      </c>
      <c r="F9" s="50">
        <v>-3</v>
      </c>
      <c r="G9" s="6">
        <v>87.3</v>
      </c>
      <c r="H9" t="s">
        <v>177</v>
      </c>
      <c r="I9" s="1">
        <v>46103</v>
      </c>
      <c r="J9">
        <v>22</v>
      </c>
      <c r="K9" s="38">
        <v>90.72</v>
      </c>
      <c r="L9" s="3">
        <f t="shared" si="0"/>
        <v>0.42000000000000171</v>
      </c>
    </row>
    <row r="10" spans="1:12" x14ac:dyDescent="0.25">
      <c r="A10">
        <v>1598</v>
      </c>
      <c r="B10" t="s">
        <v>115</v>
      </c>
      <c r="C10" s="37">
        <v>82</v>
      </c>
      <c r="D10" s="49">
        <v>1.075</v>
      </c>
      <c r="E10" s="6">
        <v>88.149999999999991</v>
      </c>
      <c r="F10" s="50">
        <v>-3</v>
      </c>
      <c r="G10" s="6">
        <v>85.149999999999991</v>
      </c>
      <c r="H10" t="s">
        <v>177</v>
      </c>
      <c r="I10" s="1">
        <v>46103</v>
      </c>
      <c r="J10">
        <v>18</v>
      </c>
      <c r="K10" s="38">
        <v>88.56</v>
      </c>
      <c r="L10" s="3">
        <f t="shared" si="0"/>
        <v>0.4100000000000108</v>
      </c>
    </row>
    <row r="11" spans="1:12" x14ac:dyDescent="0.25">
      <c r="A11">
        <v>3328</v>
      </c>
      <c r="B11" t="s">
        <v>168</v>
      </c>
      <c r="C11" s="37">
        <v>72</v>
      </c>
      <c r="D11" s="49">
        <v>1.075</v>
      </c>
      <c r="E11" s="6">
        <v>77.399999999999991</v>
      </c>
      <c r="F11" s="50">
        <v>-3</v>
      </c>
      <c r="G11" s="6">
        <v>74.399999999999991</v>
      </c>
      <c r="H11" t="s">
        <v>177</v>
      </c>
      <c r="I11" s="1">
        <v>46103</v>
      </c>
      <c r="J11">
        <v>19</v>
      </c>
      <c r="K11" s="38">
        <v>77.760000000000005</v>
      </c>
      <c r="L11" s="3">
        <f t="shared" si="0"/>
        <v>0.36000000000001364</v>
      </c>
    </row>
    <row r="12" spans="1:12" x14ac:dyDescent="0.25">
      <c r="A12">
        <v>1949</v>
      </c>
      <c r="B12" t="s">
        <v>111</v>
      </c>
      <c r="C12" s="37">
        <v>70</v>
      </c>
      <c r="D12" s="49">
        <v>1.075</v>
      </c>
      <c r="E12" s="6">
        <v>75.25</v>
      </c>
      <c r="F12" s="50">
        <v>-3</v>
      </c>
      <c r="G12" s="6">
        <v>72.25</v>
      </c>
      <c r="H12" t="s">
        <v>177</v>
      </c>
      <c r="I12" s="1">
        <v>46103</v>
      </c>
      <c r="J12">
        <v>21</v>
      </c>
      <c r="K12" s="38">
        <v>75.599999999999994</v>
      </c>
      <c r="L12" s="3">
        <f t="shared" si="0"/>
        <v>0.34999999999999432</v>
      </c>
    </row>
    <row r="13" spans="1:12" x14ac:dyDescent="0.25">
      <c r="A13">
        <v>4463</v>
      </c>
      <c r="B13" t="s">
        <v>140</v>
      </c>
      <c r="C13" s="37">
        <v>68</v>
      </c>
      <c r="D13" s="49">
        <v>1.075</v>
      </c>
      <c r="E13" s="6">
        <v>73.099999999999994</v>
      </c>
      <c r="F13" s="50">
        <v>-3</v>
      </c>
      <c r="G13" s="6">
        <v>70.099999999999994</v>
      </c>
      <c r="H13" t="s">
        <v>177</v>
      </c>
      <c r="I13" s="1">
        <v>46103</v>
      </c>
      <c r="J13">
        <v>14</v>
      </c>
      <c r="K13" s="38">
        <v>73.44</v>
      </c>
      <c r="L13" s="3">
        <f t="shared" si="0"/>
        <v>0.34000000000000341</v>
      </c>
    </row>
    <row r="14" spans="1:12" x14ac:dyDescent="0.25">
      <c r="A14">
        <v>3977</v>
      </c>
      <c r="B14" t="s">
        <v>158</v>
      </c>
      <c r="C14" s="37">
        <v>68</v>
      </c>
      <c r="D14" s="49">
        <v>1.075</v>
      </c>
      <c r="E14" s="6">
        <v>73.099999999999994</v>
      </c>
      <c r="F14" s="50">
        <v>-3</v>
      </c>
      <c r="G14" s="6">
        <v>70.099999999999994</v>
      </c>
      <c r="H14" t="s">
        <v>177</v>
      </c>
      <c r="I14" s="1">
        <v>46103</v>
      </c>
      <c r="J14">
        <v>21</v>
      </c>
      <c r="K14" s="38">
        <v>73.44</v>
      </c>
      <c r="L14" s="3">
        <f t="shared" si="0"/>
        <v>0.34000000000000341</v>
      </c>
    </row>
    <row r="15" spans="1:12" x14ac:dyDescent="0.25">
      <c r="A15">
        <v>4474</v>
      </c>
      <c r="B15" t="s">
        <v>120</v>
      </c>
      <c r="C15" s="37">
        <v>62</v>
      </c>
      <c r="D15" s="49">
        <v>1.075</v>
      </c>
      <c r="E15" s="6">
        <v>66.649999999999991</v>
      </c>
      <c r="F15" s="50">
        <v>-3</v>
      </c>
      <c r="G15" s="6">
        <v>63.649999999999991</v>
      </c>
      <c r="H15" t="s">
        <v>177</v>
      </c>
      <c r="I15" s="1">
        <v>46103</v>
      </c>
      <c r="J15">
        <v>13</v>
      </c>
      <c r="K15" s="38">
        <v>66.959999999999994</v>
      </c>
      <c r="L15" s="3">
        <f t="shared" si="0"/>
        <v>0.31000000000000227</v>
      </c>
    </row>
    <row r="16" spans="1:12" x14ac:dyDescent="0.25">
      <c r="A16">
        <v>3529</v>
      </c>
      <c r="B16" t="s">
        <v>167</v>
      </c>
      <c r="C16" s="37">
        <v>62</v>
      </c>
      <c r="D16" s="49">
        <v>1.075</v>
      </c>
      <c r="E16" s="6">
        <v>66.649999999999991</v>
      </c>
      <c r="F16" s="50"/>
      <c r="G16" s="6">
        <v>66.649999999999991</v>
      </c>
      <c r="H16" t="s">
        <v>177</v>
      </c>
      <c r="I16" s="1">
        <v>46103</v>
      </c>
      <c r="J16">
        <v>11</v>
      </c>
      <c r="K16" s="38">
        <v>66.959999999999994</v>
      </c>
      <c r="L16" s="3">
        <f t="shared" si="0"/>
        <v>0.31000000000000227</v>
      </c>
    </row>
    <row r="17" spans="1:12" x14ac:dyDescent="0.25">
      <c r="A17">
        <v>4113</v>
      </c>
      <c r="B17" t="s">
        <v>55</v>
      </c>
      <c r="C17" s="37">
        <v>62</v>
      </c>
      <c r="D17" s="49">
        <v>1.075</v>
      </c>
      <c r="E17" s="6">
        <v>66.649999999999991</v>
      </c>
      <c r="F17" s="50"/>
      <c r="G17" s="6">
        <v>66.649999999999991</v>
      </c>
      <c r="H17" t="s">
        <v>177</v>
      </c>
      <c r="I17" s="1">
        <v>46103</v>
      </c>
      <c r="J17">
        <v>15</v>
      </c>
      <c r="K17" s="38">
        <v>66.959999999999994</v>
      </c>
      <c r="L17" s="3">
        <f t="shared" si="0"/>
        <v>0.31000000000000227</v>
      </c>
    </row>
    <row r="18" spans="1:12" x14ac:dyDescent="0.25">
      <c r="A18">
        <v>3977</v>
      </c>
      <c r="B18" t="s">
        <v>124</v>
      </c>
      <c r="C18" s="37">
        <v>58</v>
      </c>
      <c r="D18" s="49">
        <v>1.075</v>
      </c>
      <c r="E18" s="6">
        <v>62.349999999999994</v>
      </c>
      <c r="F18" s="50">
        <v>-3</v>
      </c>
      <c r="G18" s="6">
        <v>59.349999999999994</v>
      </c>
      <c r="H18" t="s">
        <v>177</v>
      </c>
      <c r="I18" s="1">
        <v>46103</v>
      </c>
      <c r="J18">
        <v>16</v>
      </c>
      <c r="K18" s="38">
        <v>62.64</v>
      </c>
      <c r="L18" s="3">
        <f t="shared" si="0"/>
        <v>0.29000000000000625</v>
      </c>
    </row>
    <row r="19" spans="1:12" x14ac:dyDescent="0.25">
      <c r="A19">
        <v>3643</v>
      </c>
      <c r="B19" t="s">
        <v>100</v>
      </c>
      <c r="C19" s="37">
        <v>52</v>
      </c>
      <c r="D19" s="49">
        <v>1.075</v>
      </c>
      <c r="E19" s="6">
        <v>55.9</v>
      </c>
      <c r="F19" s="50">
        <v>-3</v>
      </c>
      <c r="G19" s="6">
        <v>52.9</v>
      </c>
      <c r="H19" t="s">
        <v>177</v>
      </c>
      <c r="I19" s="1">
        <v>46103</v>
      </c>
      <c r="J19">
        <v>12</v>
      </c>
      <c r="K19" s="38">
        <v>56.16</v>
      </c>
      <c r="L19" s="3">
        <f t="shared" si="0"/>
        <v>0.25999999999999801</v>
      </c>
    </row>
    <row r="20" spans="1:12" x14ac:dyDescent="0.25">
      <c r="A20">
        <v>4470</v>
      </c>
      <c r="B20" t="s">
        <v>157</v>
      </c>
      <c r="C20" s="37">
        <v>52</v>
      </c>
      <c r="D20" s="49">
        <v>1.075</v>
      </c>
      <c r="E20" s="6">
        <v>55.9</v>
      </c>
      <c r="F20" s="50">
        <v>-3</v>
      </c>
      <c r="G20" s="6">
        <v>52.9</v>
      </c>
      <c r="H20" t="s">
        <v>177</v>
      </c>
      <c r="I20" s="1">
        <v>46103</v>
      </c>
      <c r="J20">
        <v>10</v>
      </c>
      <c r="K20" s="38">
        <v>56.16</v>
      </c>
      <c r="L20" s="3">
        <f t="shared" si="0"/>
        <v>0.25999999999999801</v>
      </c>
    </row>
    <row r="21" spans="1:12" x14ac:dyDescent="0.25">
      <c r="A21">
        <v>3972</v>
      </c>
      <c r="B21" t="s">
        <v>126</v>
      </c>
      <c r="C21" s="37">
        <v>39</v>
      </c>
      <c r="D21" s="49">
        <v>1.05</v>
      </c>
      <c r="E21" s="6">
        <v>40.950000000000003</v>
      </c>
      <c r="F21" s="50">
        <v>-3</v>
      </c>
      <c r="G21" s="6">
        <v>37.950000000000003</v>
      </c>
      <c r="H21" t="s">
        <v>177</v>
      </c>
      <c r="I21" s="1">
        <v>46103</v>
      </c>
      <c r="J21">
        <v>5</v>
      </c>
      <c r="K21" s="38">
        <v>39.78</v>
      </c>
      <c r="L21" s="3">
        <f t="shared" si="0"/>
        <v>-1.1700000000000017</v>
      </c>
    </row>
    <row r="22" spans="1:12" x14ac:dyDescent="0.25">
      <c r="A22">
        <v>6105</v>
      </c>
      <c r="B22" t="s">
        <v>139</v>
      </c>
      <c r="C22" s="37">
        <v>36</v>
      </c>
      <c r="D22" s="49">
        <v>1.05</v>
      </c>
      <c r="E22" s="6">
        <v>37.800000000000004</v>
      </c>
      <c r="F22" s="50"/>
      <c r="G22" s="6">
        <v>37.800000000000004</v>
      </c>
      <c r="H22" t="s">
        <v>177</v>
      </c>
      <c r="I22" s="1">
        <v>46103</v>
      </c>
      <c r="J22">
        <v>7</v>
      </c>
      <c r="K22" s="38">
        <v>36.72</v>
      </c>
      <c r="L22" s="3">
        <f t="shared" si="0"/>
        <v>-1.0800000000000054</v>
      </c>
    </row>
    <row r="23" spans="1:12" x14ac:dyDescent="0.25">
      <c r="A23">
        <v>5008</v>
      </c>
      <c r="B23" t="s">
        <v>160</v>
      </c>
      <c r="C23" s="37">
        <v>36</v>
      </c>
      <c r="D23" s="49">
        <v>1.05</v>
      </c>
      <c r="E23" s="6">
        <v>37.800000000000004</v>
      </c>
      <c r="F23" s="50">
        <v>-3</v>
      </c>
      <c r="G23" s="6">
        <v>34.800000000000004</v>
      </c>
      <c r="H23" t="s">
        <v>177</v>
      </c>
      <c r="I23" s="1">
        <v>46103</v>
      </c>
      <c r="J23">
        <v>9</v>
      </c>
      <c r="K23" s="38">
        <v>36.72</v>
      </c>
      <c r="L23" s="3">
        <f t="shared" si="0"/>
        <v>-1.0800000000000054</v>
      </c>
    </row>
    <row r="24" spans="1:12" x14ac:dyDescent="0.25">
      <c r="A24">
        <v>3927</v>
      </c>
      <c r="B24" t="s">
        <v>164</v>
      </c>
      <c r="C24" s="37">
        <v>34</v>
      </c>
      <c r="D24" s="49">
        <v>1.05</v>
      </c>
      <c r="E24" s="6">
        <v>35.700000000000003</v>
      </c>
      <c r="F24" s="50">
        <v>-3</v>
      </c>
      <c r="G24" s="6">
        <v>32.700000000000003</v>
      </c>
      <c r="H24" t="s">
        <v>177</v>
      </c>
      <c r="I24" s="1">
        <v>46103</v>
      </c>
      <c r="J24">
        <v>15</v>
      </c>
      <c r="K24" s="38">
        <v>34.68</v>
      </c>
      <c r="L24" s="3">
        <f t="shared" si="0"/>
        <v>-1.0200000000000031</v>
      </c>
    </row>
    <row r="25" spans="1:12" x14ac:dyDescent="0.25">
      <c r="A25">
        <v>6746</v>
      </c>
      <c r="B25" t="s">
        <v>102</v>
      </c>
      <c r="C25" s="37">
        <v>31</v>
      </c>
      <c r="D25" s="49">
        <v>1.05</v>
      </c>
      <c r="E25" s="6">
        <v>32.550000000000004</v>
      </c>
      <c r="F25" s="50">
        <v>-3</v>
      </c>
      <c r="G25" s="6">
        <v>29.550000000000004</v>
      </c>
      <c r="H25" t="s">
        <v>177</v>
      </c>
      <c r="I25" s="1">
        <v>46103</v>
      </c>
      <c r="J25">
        <v>20</v>
      </c>
      <c r="K25" s="38">
        <v>31.62</v>
      </c>
      <c r="L25" s="3">
        <f t="shared" si="0"/>
        <v>-0.93000000000000327</v>
      </c>
    </row>
    <row r="26" spans="1:12" x14ac:dyDescent="0.25">
      <c r="A26">
        <v>6103</v>
      </c>
      <c r="B26" t="s">
        <v>138</v>
      </c>
      <c r="C26" s="37">
        <v>31</v>
      </c>
      <c r="D26" s="49">
        <v>1.05</v>
      </c>
      <c r="E26" s="6">
        <v>32.550000000000004</v>
      </c>
      <c r="F26" s="50"/>
      <c r="G26" s="6">
        <v>32.550000000000004</v>
      </c>
      <c r="H26" t="s">
        <v>177</v>
      </c>
      <c r="I26" s="1">
        <v>46103</v>
      </c>
      <c r="J26">
        <v>7</v>
      </c>
      <c r="K26" s="38">
        <v>31.62</v>
      </c>
      <c r="L26" s="3">
        <f t="shared" si="0"/>
        <v>-0.93000000000000327</v>
      </c>
    </row>
    <row r="27" spans="1:12" x14ac:dyDescent="0.25">
      <c r="A27">
        <v>5007</v>
      </c>
      <c r="B27" t="s">
        <v>151</v>
      </c>
      <c r="C27" s="37">
        <v>31</v>
      </c>
      <c r="D27" s="49">
        <v>1.05</v>
      </c>
      <c r="E27" s="6">
        <v>32.550000000000004</v>
      </c>
      <c r="F27" s="50">
        <v>-3</v>
      </c>
      <c r="G27" s="6">
        <v>29.550000000000004</v>
      </c>
      <c r="H27" t="s">
        <v>177</v>
      </c>
      <c r="I27" s="1">
        <v>46103</v>
      </c>
      <c r="J27">
        <v>10</v>
      </c>
      <c r="K27" s="38">
        <v>31.62</v>
      </c>
      <c r="L27" s="3">
        <f t="shared" si="0"/>
        <v>-0.93000000000000327</v>
      </c>
    </row>
    <row r="28" spans="1:12" x14ac:dyDescent="0.25">
      <c r="A28">
        <v>1213</v>
      </c>
      <c r="B28" t="s">
        <v>131</v>
      </c>
      <c r="C28" s="37">
        <v>29</v>
      </c>
      <c r="D28" s="49">
        <v>1.05</v>
      </c>
      <c r="E28" s="6">
        <v>30.450000000000003</v>
      </c>
      <c r="F28" s="50">
        <v>-3</v>
      </c>
      <c r="G28" s="6">
        <v>27.450000000000003</v>
      </c>
      <c r="H28" t="s">
        <v>177</v>
      </c>
      <c r="I28" s="1">
        <v>46103</v>
      </c>
      <c r="J28">
        <v>15</v>
      </c>
      <c r="K28" s="38">
        <v>29.58</v>
      </c>
      <c r="L28" s="3">
        <f t="shared" si="0"/>
        <v>-0.87000000000000455</v>
      </c>
    </row>
    <row r="29" spans="1:12" x14ac:dyDescent="0.25">
      <c r="A29">
        <v>4524</v>
      </c>
      <c r="B29" t="s">
        <v>105</v>
      </c>
      <c r="C29" s="37">
        <v>26</v>
      </c>
      <c r="D29" s="49">
        <v>1.05</v>
      </c>
      <c r="E29" s="6">
        <v>27.3</v>
      </c>
      <c r="F29" s="50">
        <v>-3</v>
      </c>
      <c r="G29" s="6">
        <v>24.3</v>
      </c>
      <c r="H29" t="s">
        <v>177</v>
      </c>
      <c r="I29" s="1">
        <v>46103</v>
      </c>
      <c r="J29">
        <v>8</v>
      </c>
      <c r="K29" s="38">
        <v>26.52</v>
      </c>
      <c r="L29" s="3">
        <f t="shared" si="0"/>
        <v>-0.78000000000000114</v>
      </c>
    </row>
    <row r="30" spans="1:12" x14ac:dyDescent="0.25">
      <c r="A30">
        <v>3972</v>
      </c>
      <c r="B30" t="s">
        <v>112</v>
      </c>
      <c r="C30" s="37">
        <v>26</v>
      </c>
      <c r="D30" s="49">
        <v>1.05</v>
      </c>
      <c r="E30" s="6">
        <v>27.3</v>
      </c>
      <c r="F30" s="50">
        <v>-3</v>
      </c>
      <c r="G30" s="6">
        <v>24.3</v>
      </c>
      <c r="H30" t="s">
        <v>177</v>
      </c>
      <c r="I30" s="1">
        <v>46103</v>
      </c>
      <c r="J30">
        <v>9</v>
      </c>
      <c r="K30" s="38">
        <v>26.52</v>
      </c>
      <c r="L30" s="3">
        <f t="shared" si="0"/>
        <v>-0.78000000000000114</v>
      </c>
    </row>
    <row r="31" spans="1:12" x14ac:dyDescent="0.25">
      <c r="A31">
        <v>1614</v>
      </c>
      <c r="B31" t="s">
        <v>108</v>
      </c>
      <c r="C31" s="37">
        <v>22</v>
      </c>
      <c r="D31" s="49">
        <v>1.05</v>
      </c>
      <c r="E31" s="6">
        <v>23.1</v>
      </c>
      <c r="F31" s="50">
        <v>-3</v>
      </c>
      <c r="G31" s="6">
        <v>20.100000000000001</v>
      </c>
      <c r="H31" t="s">
        <v>177</v>
      </c>
      <c r="I31" s="1">
        <v>46103</v>
      </c>
      <c r="J31">
        <v>15</v>
      </c>
      <c r="K31" s="38">
        <v>22.44</v>
      </c>
      <c r="L31" s="3">
        <f t="shared" si="0"/>
        <v>-0.66000000000000014</v>
      </c>
    </row>
    <row r="32" spans="1:12" x14ac:dyDescent="0.25">
      <c r="A32">
        <v>4313</v>
      </c>
      <c r="B32" t="s">
        <v>166</v>
      </c>
      <c r="C32" s="37">
        <v>22</v>
      </c>
      <c r="D32" s="49">
        <v>1.05</v>
      </c>
      <c r="E32" s="6">
        <v>23.1</v>
      </c>
      <c r="F32" s="50">
        <v>-3</v>
      </c>
      <c r="G32" s="6">
        <v>20.100000000000001</v>
      </c>
      <c r="H32" t="s">
        <v>177</v>
      </c>
      <c r="I32" s="1">
        <v>46103</v>
      </c>
      <c r="J32">
        <v>8</v>
      </c>
      <c r="K32" s="38">
        <v>22.44</v>
      </c>
      <c r="L32" s="3">
        <f t="shared" si="0"/>
        <v>-0.66000000000000014</v>
      </c>
    </row>
    <row r="33" spans="1:12" x14ac:dyDescent="0.25">
      <c r="A33">
        <v>3929</v>
      </c>
      <c r="B33" t="s">
        <v>144</v>
      </c>
      <c r="C33" s="37">
        <v>21</v>
      </c>
      <c r="D33" s="49">
        <v>1.05</v>
      </c>
      <c r="E33" s="6">
        <v>22.05</v>
      </c>
      <c r="F33" s="50">
        <v>-3</v>
      </c>
      <c r="G33" s="6">
        <v>19.05</v>
      </c>
      <c r="H33" t="s">
        <v>177</v>
      </c>
      <c r="I33" s="1">
        <v>46103</v>
      </c>
      <c r="J33">
        <v>8</v>
      </c>
      <c r="K33" s="38">
        <v>21.42</v>
      </c>
      <c r="L33" s="3">
        <f t="shared" si="0"/>
        <v>-0.62999999999999901</v>
      </c>
    </row>
    <row r="34" spans="1:12" x14ac:dyDescent="0.25">
      <c r="A34">
        <v>3930</v>
      </c>
      <c r="B34" t="s">
        <v>165</v>
      </c>
      <c r="C34" s="37">
        <v>21</v>
      </c>
      <c r="D34" s="49">
        <v>1.05</v>
      </c>
      <c r="E34" s="6">
        <v>22.05</v>
      </c>
      <c r="F34" s="50">
        <v>-3</v>
      </c>
      <c r="G34" s="6">
        <v>19.05</v>
      </c>
      <c r="H34" t="s">
        <v>177</v>
      </c>
      <c r="I34" s="1">
        <v>46103</v>
      </c>
      <c r="J34">
        <v>8</v>
      </c>
      <c r="K34" s="38">
        <v>21.42</v>
      </c>
      <c r="L34" s="3">
        <f t="shared" ref="L34:L65" si="1">+K34-E34</f>
        <v>-0.62999999999999901</v>
      </c>
    </row>
    <row r="35" spans="1:12" x14ac:dyDescent="0.25">
      <c r="A35">
        <v>1909</v>
      </c>
      <c r="B35" t="s">
        <v>116</v>
      </c>
      <c r="C35" s="37">
        <v>20</v>
      </c>
      <c r="D35" s="49">
        <v>1.05</v>
      </c>
      <c r="E35" s="6">
        <v>21</v>
      </c>
      <c r="F35" s="50">
        <v>-3</v>
      </c>
      <c r="G35" s="6">
        <v>18</v>
      </c>
      <c r="H35" t="s">
        <v>177</v>
      </c>
      <c r="I35" s="1">
        <v>46103</v>
      </c>
      <c r="J35">
        <v>9</v>
      </c>
      <c r="K35" s="38">
        <v>20.399999999999999</v>
      </c>
      <c r="L35" s="3">
        <f t="shared" si="1"/>
        <v>-0.60000000000000142</v>
      </c>
    </row>
    <row r="36" spans="1:12" x14ac:dyDescent="0.25">
      <c r="A36">
        <v>4086</v>
      </c>
      <c r="B36" t="s">
        <v>127</v>
      </c>
      <c r="C36" s="37">
        <v>20</v>
      </c>
      <c r="D36" s="49">
        <v>1.05</v>
      </c>
      <c r="E36" s="6">
        <v>21</v>
      </c>
      <c r="F36" s="50">
        <v>-3</v>
      </c>
      <c r="G36" s="6">
        <v>18</v>
      </c>
      <c r="H36" t="s">
        <v>177</v>
      </c>
      <c r="I36" s="1">
        <v>46103</v>
      </c>
      <c r="J36">
        <v>6</v>
      </c>
      <c r="K36" s="38">
        <v>20.399999999999999</v>
      </c>
      <c r="L36" s="3">
        <f t="shared" si="1"/>
        <v>-0.60000000000000142</v>
      </c>
    </row>
    <row r="37" spans="1:12" x14ac:dyDescent="0.25">
      <c r="A37">
        <v>1236</v>
      </c>
      <c r="B37" t="s">
        <v>130</v>
      </c>
      <c r="C37" s="37">
        <v>20</v>
      </c>
      <c r="D37" s="49">
        <v>1.05</v>
      </c>
      <c r="E37" s="6">
        <v>21</v>
      </c>
      <c r="F37" s="50">
        <v>-3</v>
      </c>
      <c r="G37" s="6">
        <v>18</v>
      </c>
      <c r="H37" t="s">
        <v>177</v>
      </c>
      <c r="I37" s="1">
        <v>46103</v>
      </c>
      <c r="J37">
        <v>11</v>
      </c>
      <c r="K37" s="38">
        <v>20.399999999999999</v>
      </c>
      <c r="L37" s="3">
        <f t="shared" si="1"/>
        <v>-0.60000000000000142</v>
      </c>
    </row>
    <row r="38" spans="1:12" x14ac:dyDescent="0.25">
      <c r="A38">
        <v>3902</v>
      </c>
      <c r="B38" t="s">
        <v>107</v>
      </c>
      <c r="C38" s="37">
        <v>19</v>
      </c>
      <c r="D38" s="49">
        <v>1.05</v>
      </c>
      <c r="E38" s="6">
        <v>19.95</v>
      </c>
      <c r="F38" s="50">
        <v>-3</v>
      </c>
      <c r="G38" s="6">
        <v>16.95</v>
      </c>
      <c r="H38" t="s">
        <v>177</v>
      </c>
      <c r="I38" s="1">
        <v>46103</v>
      </c>
      <c r="J38">
        <v>9</v>
      </c>
      <c r="K38" s="38">
        <v>19.38</v>
      </c>
      <c r="L38" s="3">
        <f t="shared" si="1"/>
        <v>-0.57000000000000028</v>
      </c>
    </row>
    <row r="39" spans="1:12" x14ac:dyDescent="0.25">
      <c r="A39">
        <v>5434</v>
      </c>
      <c r="B39" t="s">
        <v>170</v>
      </c>
      <c r="C39" s="37">
        <v>19</v>
      </c>
      <c r="D39" s="49">
        <v>1.05</v>
      </c>
      <c r="E39" s="6">
        <v>19.95</v>
      </c>
      <c r="F39" s="50">
        <v>-3</v>
      </c>
      <c r="G39" s="6">
        <v>16.95</v>
      </c>
      <c r="H39" t="s">
        <v>177</v>
      </c>
      <c r="I39" s="1">
        <v>46103</v>
      </c>
      <c r="J39">
        <v>7</v>
      </c>
      <c r="K39" s="38">
        <v>19.38</v>
      </c>
      <c r="L39" s="3">
        <f t="shared" si="1"/>
        <v>-0.57000000000000028</v>
      </c>
    </row>
    <row r="40" spans="1:12" x14ac:dyDescent="0.25">
      <c r="A40">
        <v>4301</v>
      </c>
      <c r="B40" t="s">
        <v>147</v>
      </c>
      <c r="C40" s="37">
        <v>18</v>
      </c>
      <c r="D40" s="49">
        <v>1.05</v>
      </c>
      <c r="E40" s="6">
        <v>18.900000000000002</v>
      </c>
      <c r="F40" s="50">
        <v>-3</v>
      </c>
      <c r="G40" s="6">
        <v>15.900000000000002</v>
      </c>
      <c r="H40" t="s">
        <v>177</v>
      </c>
      <c r="I40" s="1">
        <v>46103</v>
      </c>
      <c r="J40">
        <v>10</v>
      </c>
      <c r="K40" s="38">
        <v>18.36</v>
      </c>
      <c r="L40" s="3">
        <f t="shared" si="1"/>
        <v>-0.5400000000000027</v>
      </c>
    </row>
    <row r="41" spans="1:12" x14ac:dyDescent="0.25">
      <c r="A41">
        <v>1636</v>
      </c>
      <c r="B41" t="s">
        <v>162</v>
      </c>
      <c r="C41" s="37">
        <v>18</v>
      </c>
      <c r="D41" s="49">
        <v>1.05</v>
      </c>
      <c r="E41" s="6">
        <v>18.900000000000002</v>
      </c>
      <c r="F41" s="50">
        <v>-3</v>
      </c>
      <c r="G41" s="6">
        <v>15.900000000000002</v>
      </c>
      <c r="H41" t="s">
        <v>177</v>
      </c>
      <c r="I41" s="1">
        <v>46103</v>
      </c>
      <c r="J41">
        <v>7</v>
      </c>
      <c r="K41" s="38">
        <v>18.36</v>
      </c>
      <c r="L41" s="3">
        <f t="shared" si="1"/>
        <v>-0.5400000000000027</v>
      </c>
    </row>
    <row r="42" spans="1:12" x14ac:dyDescent="0.25">
      <c r="A42">
        <v>3637</v>
      </c>
      <c r="B42" t="s">
        <v>169</v>
      </c>
      <c r="C42" s="37">
        <v>17</v>
      </c>
      <c r="D42" s="49">
        <v>1.05</v>
      </c>
      <c r="E42" s="6">
        <v>17.850000000000001</v>
      </c>
      <c r="F42" s="50">
        <v>-3</v>
      </c>
      <c r="G42" s="6">
        <v>14.850000000000001</v>
      </c>
      <c r="H42" t="s">
        <v>177</v>
      </c>
      <c r="I42" s="1">
        <v>46103</v>
      </c>
      <c r="J42">
        <v>9</v>
      </c>
      <c r="K42" s="38">
        <v>17.34</v>
      </c>
      <c r="L42" s="3">
        <f t="shared" si="1"/>
        <v>-0.51000000000000156</v>
      </c>
    </row>
    <row r="43" spans="1:12" x14ac:dyDescent="0.25">
      <c r="A43">
        <v>4213</v>
      </c>
      <c r="B43" t="s">
        <v>117</v>
      </c>
      <c r="C43" s="37">
        <v>16</v>
      </c>
      <c r="D43" s="49">
        <v>1.05</v>
      </c>
      <c r="E43" s="6">
        <v>16.8</v>
      </c>
      <c r="F43" s="50">
        <v>-3</v>
      </c>
      <c r="G43" s="6">
        <v>13.8</v>
      </c>
      <c r="H43" t="s">
        <v>177</v>
      </c>
      <c r="I43" s="1">
        <v>46103</v>
      </c>
      <c r="J43">
        <v>7</v>
      </c>
      <c r="K43" s="38">
        <v>16.2</v>
      </c>
      <c r="L43" s="3">
        <f t="shared" si="1"/>
        <v>-0.60000000000000142</v>
      </c>
    </row>
    <row r="44" spans="1:12" x14ac:dyDescent="0.25">
      <c r="A44">
        <v>4559</v>
      </c>
      <c r="B44" t="s">
        <v>118</v>
      </c>
      <c r="C44" s="37">
        <v>16</v>
      </c>
      <c r="D44" s="49">
        <v>1.05</v>
      </c>
      <c r="E44" s="6">
        <v>16.8</v>
      </c>
      <c r="F44" s="50">
        <v>-3</v>
      </c>
      <c r="G44" s="6">
        <v>13.8</v>
      </c>
      <c r="H44" t="s">
        <v>177</v>
      </c>
      <c r="I44" s="1">
        <v>46103</v>
      </c>
      <c r="J44">
        <v>8</v>
      </c>
      <c r="K44" s="38">
        <v>16.2</v>
      </c>
      <c r="L44" s="3">
        <f t="shared" si="1"/>
        <v>-0.60000000000000142</v>
      </c>
    </row>
    <row r="45" spans="1:12" x14ac:dyDescent="0.25">
      <c r="A45">
        <v>3944</v>
      </c>
      <c r="B45" t="s">
        <v>156</v>
      </c>
      <c r="C45" s="37">
        <v>16</v>
      </c>
      <c r="D45" s="49">
        <v>1.05</v>
      </c>
      <c r="E45" s="6">
        <v>16.8</v>
      </c>
      <c r="F45" s="50">
        <v>-3</v>
      </c>
      <c r="G45" s="6">
        <v>13.8</v>
      </c>
      <c r="H45" t="s">
        <v>177</v>
      </c>
      <c r="I45" s="1">
        <v>46103</v>
      </c>
      <c r="J45">
        <v>7</v>
      </c>
      <c r="K45" s="38">
        <v>16.2</v>
      </c>
      <c r="L45" s="3">
        <f t="shared" si="1"/>
        <v>-0.60000000000000142</v>
      </c>
    </row>
    <row r="46" spans="1:12" x14ac:dyDescent="0.25">
      <c r="A46">
        <v>3908</v>
      </c>
      <c r="B46" t="s">
        <v>125</v>
      </c>
      <c r="C46" s="37">
        <v>15</v>
      </c>
      <c r="D46" s="49">
        <v>1.05</v>
      </c>
      <c r="E46" s="6">
        <v>15.75</v>
      </c>
      <c r="F46" s="50">
        <v>-3</v>
      </c>
      <c r="G46" s="6">
        <v>12.75</v>
      </c>
      <c r="H46" t="s">
        <v>177</v>
      </c>
      <c r="I46" s="1">
        <v>46103</v>
      </c>
      <c r="J46">
        <v>7</v>
      </c>
      <c r="K46" s="38">
        <v>15</v>
      </c>
      <c r="L46" s="3">
        <f t="shared" si="1"/>
        <v>-0.75</v>
      </c>
    </row>
    <row r="47" spans="1:12" x14ac:dyDescent="0.25">
      <c r="A47">
        <v>4524</v>
      </c>
      <c r="B47" t="s">
        <v>148</v>
      </c>
      <c r="C47" s="37">
        <v>15</v>
      </c>
      <c r="D47" s="49">
        <v>1.05</v>
      </c>
      <c r="E47" s="6">
        <v>15.75</v>
      </c>
      <c r="F47" s="50">
        <v>-3</v>
      </c>
      <c r="G47" s="6">
        <v>12.75</v>
      </c>
      <c r="H47" t="s">
        <v>177</v>
      </c>
      <c r="I47" s="1">
        <v>46103</v>
      </c>
      <c r="J47">
        <v>6</v>
      </c>
      <c r="K47" s="38">
        <v>15</v>
      </c>
      <c r="L47" s="3">
        <f t="shared" si="1"/>
        <v>-0.75</v>
      </c>
    </row>
    <row r="48" spans="1:12" x14ac:dyDescent="0.25">
      <c r="A48">
        <v>6666</v>
      </c>
      <c r="B48" t="s">
        <v>129</v>
      </c>
      <c r="C48" s="37">
        <v>14</v>
      </c>
      <c r="D48" s="49">
        <v>1.05</v>
      </c>
      <c r="E48" s="6">
        <v>14.700000000000001</v>
      </c>
      <c r="F48" s="50">
        <v>-3</v>
      </c>
      <c r="G48" s="6">
        <v>11.700000000000001</v>
      </c>
      <c r="H48" t="s">
        <v>177</v>
      </c>
      <c r="I48" s="1">
        <v>46103</v>
      </c>
      <c r="J48">
        <v>7</v>
      </c>
      <c r="K48" s="38">
        <v>13.8</v>
      </c>
      <c r="L48" s="3">
        <f t="shared" si="1"/>
        <v>-0.90000000000000036</v>
      </c>
    </row>
    <row r="49" spans="1:12" x14ac:dyDescent="0.25">
      <c r="A49">
        <v>1636</v>
      </c>
      <c r="B49" t="s">
        <v>101</v>
      </c>
      <c r="C49" s="37">
        <v>13</v>
      </c>
      <c r="D49" s="49">
        <v>1.05</v>
      </c>
      <c r="E49" s="6">
        <v>13.65</v>
      </c>
      <c r="F49" s="50">
        <v>-3</v>
      </c>
      <c r="G49" s="6">
        <v>10.65</v>
      </c>
      <c r="H49" t="s">
        <v>177</v>
      </c>
      <c r="I49" s="1">
        <v>46103</v>
      </c>
      <c r="J49">
        <v>4</v>
      </c>
      <c r="K49" s="38">
        <v>12.6</v>
      </c>
      <c r="L49" s="3">
        <f t="shared" si="1"/>
        <v>-1.0500000000000007</v>
      </c>
    </row>
    <row r="50" spans="1:12" x14ac:dyDescent="0.25">
      <c r="A50">
        <v>1636</v>
      </c>
      <c r="B50" t="s">
        <v>101</v>
      </c>
      <c r="C50" s="37">
        <v>13</v>
      </c>
      <c r="D50" s="49">
        <v>1.05</v>
      </c>
      <c r="E50" s="6">
        <v>13.65</v>
      </c>
      <c r="F50" s="50">
        <v>-3</v>
      </c>
      <c r="G50" s="6">
        <v>10.65</v>
      </c>
      <c r="H50" t="s">
        <v>177</v>
      </c>
      <c r="I50" s="1">
        <v>46103</v>
      </c>
      <c r="J50">
        <v>5</v>
      </c>
      <c r="K50" s="38">
        <v>12.6</v>
      </c>
      <c r="L50" s="3">
        <f t="shared" si="1"/>
        <v>-1.0500000000000007</v>
      </c>
    </row>
    <row r="51" spans="1:12" x14ac:dyDescent="0.25">
      <c r="A51">
        <v>5401</v>
      </c>
      <c r="B51" t="s">
        <v>163</v>
      </c>
      <c r="C51" s="37">
        <v>13</v>
      </c>
      <c r="D51" s="49">
        <v>1.05</v>
      </c>
      <c r="E51" s="6">
        <v>13.65</v>
      </c>
      <c r="F51" s="50">
        <v>-3</v>
      </c>
      <c r="G51" s="6">
        <v>10.65</v>
      </c>
      <c r="H51" t="s">
        <v>177</v>
      </c>
      <c r="I51" s="1">
        <v>46103</v>
      </c>
      <c r="J51">
        <v>6</v>
      </c>
      <c r="K51" s="38">
        <v>12.6</v>
      </c>
      <c r="L51" s="3">
        <f t="shared" si="1"/>
        <v>-1.0500000000000007</v>
      </c>
    </row>
    <row r="52" spans="1:12" x14ac:dyDescent="0.25">
      <c r="A52">
        <v>3066</v>
      </c>
      <c r="B52" t="s">
        <v>121</v>
      </c>
      <c r="C52" s="37">
        <v>12</v>
      </c>
      <c r="D52" s="49">
        <v>1.05</v>
      </c>
      <c r="E52" s="6">
        <v>12.600000000000001</v>
      </c>
      <c r="F52" s="50">
        <v>-3</v>
      </c>
      <c r="G52" s="6">
        <v>9.6000000000000014</v>
      </c>
      <c r="H52" t="s">
        <v>177</v>
      </c>
      <c r="I52" s="1">
        <v>46103</v>
      </c>
      <c r="J52">
        <v>4</v>
      </c>
      <c r="K52" s="38">
        <v>11.4</v>
      </c>
      <c r="L52" s="3">
        <f t="shared" si="1"/>
        <v>-1.2000000000000011</v>
      </c>
    </row>
    <row r="53" spans="1:12" x14ac:dyDescent="0.25">
      <c r="A53">
        <v>1260</v>
      </c>
      <c r="B53" t="s">
        <v>123</v>
      </c>
      <c r="C53" s="37">
        <v>12</v>
      </c>
      <c r="D53" s="49">
        <v>1.05</v>
      </c>
      <c r="E53" s="6">
        <v>12.600000000000001</v>
      </c>
      <c r="F53" s="50">
        <v>-3</v>
      </c>
      <c r="G53" s="6">
        <v>9.6000000000000014</v>
      </c>
      <c r="H53" t="s">
        <v>177</v>
      </c>
      <c r="I53" s="1">
        <v>46103</v>
      </c>
      <c r="J53">
        <v>5</v>
      </c>
      <c r="K53" s="38">
        <v>11.4</v>
      </c>
      <c r="L53" s="3">
        <f t="shared" si="1"/>
        <v>-1.2000000000000011</v>
      </c>
    </row>
    <row r="54" spans="1:12" x14ac:dyDescent="0.25">
      <c r="A54">
        <v>3426</v>
      </c>
      <c r="B54" t="s">
        <v>145</v>
      </c>
      <c r="C54" s="37">
        <v>12</v>
      </c>
      <c r="D54" s="49">
        <v>1.05</v>
      </c>
      <c r="E54" s="6">
        <v>12.600000000000001</v>
      </c>
      <c r="F54" s="50">
        <v>-3</v>
      </c>
      <c r="G54" s="6">
        <v>9.6000000000000014</v>
      </c>
      <c r="H54" t="s">
        <v>177</v>
      </c>
      <c r="I54" s="1">
        <v>46103</v>
      </c>
      <c r="J54">
        <v>6</v>
      </c>
      <c r="K54" s="38">
        <v>11.4</v>
      </c>
      <c r="L54" s="3">
        <f t="shared" si="1"/>
        <v>-1.2000000000000011</v>
      </c>
    </row>
    <row r="55" spans="1:12" x14ac:dyDescent="0.25">
      <c r="A55">
        <v>4375</v>
      </c>
      <c r="B55" t="s">
        <v>119</v>
      </c>
      <c r="C55" s="37">
        <v>11</v>
      </c>
      <c r="D55" s="49">
        <v>1.05</v>
      </c>
      <c r="E55" s="6">
        <v>11.55</v>
      </c>
      <c r="F55" s="50">
        <v>-3</v>
      </c>
      <c r="G55" s="6">
        <v>8.5500000000000007</v>
      </c>
      <c r="H55" t="s">
        <v>177</v>
      </c>
      <c r="I55" s="1">
        <v>46103</v>
      </c>
      <c r="J55">
        <v>4</v>
      </c>
      <c r="K55" s="38">
        <v>10.199999999999999</v>
      </c>
      <c r="L55" s="3">
        <f t="shared" si="1"/>
        <v>-1.3500000000000014</v>
      </c>
    </row>
    <row r="56" spans="1:12" x14ac:dyDescent="0.25">
      <c r="A56">
        <v>1142</v>
      </c>
      <c r="B56" t="s">
        <v>152</v>
      </c>
      <c r="C56" s="37">
        <v>11</v>
      </c>
      <c r="D56" s="49">
        <v>1.05</v>
      </c>
      <c r="E56" s="6">
        <v>11.55</v>
      </c>
      <c r="F56" s="50">
        <v>-3</v>
      </c>
      <c r="G56" s="6">
        <v>8.5500000000000007</v>
      </c>
      <c r="H56" t="s">
        <v>177</v>
      </c>
      <c r="I56" s="1">
        <v>46103</v>
      </c>
      <c r="J56">
        <v>5</v>
      </c>
      <c r="K56" s="38">
        <v>10.199999999999999</v>
      </c>
      <c r="L56" s="3">
        <f t="shared" si="1"/>
        <v>-1.3500000000000014</v>
      </c>
    </row>
    <row r="57" spans="1:12" x14ac:dyDescent="0.25">
      <c r="A57">
        <v>4284</v>
      </c>
      <c r="B57" t="s">
        <v>128</v>
      </c>
      <c r="C57" s="37">
        <v>10</v>
      </c>
      <c r="D57" s="49">
        <v>1.05</v>
      </c>
      <c r="E57" s="6">
        <v>10.5</v>
      </c>
      <c r="F57" s="50">
        <v>-3</v>
      </c>
      <c r="G57" s="6">
        <v>7.5</v>
      </c>
      <c r="H57" t="s">
        <v>177</v>
      </c>
      <c r="I57" s="1">
        <v>46103</v>
      </c>
      <c r="J57">
        <v>5</v>
      </c>
      <c r="K57" s="38">
        <v>9</v>
      </c>
      <c r="L57" s="3">
        <f t="shared" si="1"/>
        <v>-1.5</v>
      </c>
    </row>
    <row r="58" spans="1:12" x14ac:dyDescent="0.25">
      <c r="A58">
        <v>3680</v>
      </c>
      <c r="B58" t="s">
        <v>133</v>
      </c>
      <c r="C58" s="37">
        <v>10</v>
      </c>
      <c r="D58" s="49">
        <v>1.05</v>
      </c>
      <c r="E58" s="6">
        <v>10.5</v>
      </c>
      <c r="F58" s="50">
        <v>-3</v>
      </c>
      <c r="G58" s="6">
        <v>7.5</v>
      </c>
      <c r="H58" t="s">
        <v>177</v>
      </c>
      <c r="I58" s="1">
        <v>46103</v>
      </c>
      <c r="J58">
        <v>3</v>
      </c>
      <c r="K58" s="38">
        <v>9</v>
      </c>
      <c r="L58" s="3">
        <f t="shared" si="1"/>
        <v>-1.5</v>
      </c>
    </row>
    <row r="59" spans="1:12" x14ac:dyDescent="0.25">
      <c r="A59">
        <v>3961</v>
      </c>
      <c r="B59" t="s">
        <v>173</v>
      </c>
      <c r="C59" s="37">
        <v>10</v>
      </c>
      <c r="D59" s="49">
        <v>1.05</v>
      </c>
      <c r="E59" s="6">
        <v>10.5</v>
      </c>
      <c r="F59" s="50">
        <v>-3</v>
      </c>
      <c r="G59" s="6">
        <v>7.5</v>
      </c>
      <c r="H59" t="s">
        <v>177</v>
      </c>
      <c r="I59" s="1">
        <v>46103</v>
      </c>
      <c r="J59">
        <v>4</v>
      </c>
      <c r="K59" s="38">
        <v>9</v>
      </c>
      <c r="L59" s="3">
        <f t="shared" si="1"/>
        <v>-1.5</v>
      </c>
    </row>
    <row r="60" spans="1:12" x14ac:dyDescent="0.25">
      <c r="A60">
        <v>4075</v>
      </c>
      <c r="B60" t="s">
        <v>135</v>
      </c>
      <c r="C60" s="37">
        <v>9</v>
      </c>
      <c r="D60" s="49">
        <v>1.05</v>
      </c>
      <c r="E60" s="6">
        <v>9.4500000000000011</v>
      </c>
      <c r="F60" s="50">
        <v>-3</v>
      </c>
      <c r="G60" s="6">
        <v>6.4500000000000011</v>
      </c>
      <c r="H60" t="s">
        <v>177</v>
      </c>
      <c r="I60" s="1">
        <v>46103</v>
      </c>
      <c r="J60">
        <v>3</v>
      </c>
      <c r="K60" s="38">
        <v>7.8</v>
      </c>
      <c r="L60" s="3">
        <f t="shared" si="1"/>
        <v>-1.6500000000000012</v>
      </c>
    </row>
    <row r="61" spans="1:12" x14ac:dyDescent="0.25">
      <c r="A61">
        <v>6769</v>
      </c>
      <c r="B61" t="s">
        <v>154</v>
      </c>
      <c r="C61" s="37">
        <v>8</v>
      </c>
      <c r="D61" s="49">
        <v>1.05</v>
      </c>
      <c r="E61" s="6">
        <v>8.4</v>
      </c>
      <c r="F61" s="50">
        <v>-3</v>
      </c>
      <c r="G61" s="6">
        <v>5.4</v>
      </c>
      <c r="H61" t="s">
        <v>177</v>
      </c>
      <c r="I61" s="1">
        <v>46103</v>
      </c>
      <c r="J61">
        <v>2</v>
      </c>
      <c r="K61" s="38">
        <v>6.6</v>
      </c>
      <c r="L61" s="3">
        <f t="shared" si="1"/>
        <v>-1.8000000000000007</v>
      </c>
    </row>
    <row r="62" spans="1:12" x14ac:dyDescent="0.25">
      <c r="A62">
        <v>7032</v>
      </c>
      <c r="B62" t="s">
        <v>159</v>
      </c>
      <c r="C62" s="37">
        <v>8</v>
      </c>
      <c r="D62" s="49">
        <v>1.05</v>
      </c>
      <c r="E62" s="6">
        <v>8.4</v>
      </c>
      <c r="F62" s="50">
        <v>-3</v>
      </c>
      <c r="G62" s="6">
        <v>5.4</v>
      </c>
      <c r="H62" t="s">
        <v>177</v>
      </c>
      <c r="I62" s="1">
        <v>46103</v>
      </c>
      <c r="J62">
        <v>3</v>
      </c>
      <c r="K62" s="38">
        <v>6.6</v>
      </c>
      <c r="L62" s="3">
        <f t="shared" si="1"/>
        <v>-1.8000000000000007</v>
      </c>
    </row>
    <row r="63" spans="1:12" x14ac:dyDescent="0.25">
      <c r="A63">
        <v>3888</v>
      </c>
      <c r="B63" t="s">
        <v>161</v>
      </c>
      <c r="C63" s="37">
        <v>8</v>
      </c>
      <c r="D63" s="49">
        <v>1.05</v>
      </c>
      <c r="E63" s="6">
        <v>8.4</v>
      </c>
      <c r="F63" s="50">
        <v>-3</v>
      </c>
      <c r="G63" s="6">
        <v>5.4</v>
      </c>
      <c r="H63" t="s">
        <v>177</v>
      </c>
      <c r="I63" s="1">
        <v>46103</v>
      </c>
      <c r="J63">
        <v>3</v>
      </c>
      <c r="K63" s="38">
        <v>6.6</v>
      </c>
      <c r="L63" s="3">
        <f t="shared" si="1"/>
        <v>-1.8000000000000007</v>
      </c>
    </row>
    <row r="64" spans="1:12" x14ac:dyDescent="0.25">
      <c r="A64">
        <v>3866</v>
      </c>
      <c r="B64" t="s">
        <v>172</v>
      </c>
      <c r="C64" s="37">
        <v>8</v>
      </c>
      <c r="D64" s="49">
        <v>1.05</v>
      </c>
      <c r="E64" s="6">
        <v>8.4</v>
      </c>
      <c r="F64" s="50">
        <v>-3</v>
      </c>
      <c r="G64" s="6">
        <v>5.4</v>
      </c>
      <c r="H64" t="s">
        <v>177</v>
      </c>
      <c r="I64" s="1">
        <v>46103</v>
      </c>
      <c r="J64">
        <v>3</v>
      </c>
      <c r="K64" s="38">
        <v>6.6</v>
      </c>
      <c r="L64" s="3">
        <f t="shared" si="1"/>
        <v>-1.8000000000000007</v>
      </c>
    </row>
    <row r="65" spans="1:12" x14ac:dyDescent="0.25">
      <c r="A65">
        <v>6716</v>
      </c>
      <c r="B65" t="s">
        <v>113</v>
      </c>
      <c r="C65" s="37">
        <v>7</v>
      </c>
      <c r="D65" s="49">
        <v>1.05</v>
      </c>
      <c r="E65" s="6">
        <v>7.3500000000000005</v>
      </c>
      <c r="F65" s="50">
        <v>-3</v>
      </c>
      <c r="G65" s="6">
        <v>4.3500000000000005</v>
      </c>
      <c r="H65" t="s">
        <v>177</v>
      </c>
      <c r="I65" s="1">
        <v>46103</v>
      </c>
      <c r="J65">
        <v>3</v>
      </c>
      <c r="K65" s="38">
        <v>5.4</v>
      </c>
      <c r="L65" s="3">
        <f t="shared" si="1"/>
        <v>-1.9500000000000002</v>
      </c>
    </row>
    <row r="66" spans="1:12" x14ac:dyDescent="0.25">
      <c r="A66">
        <v>7036</v>
      </c>
      <c r="B66" t="s">
        <v>134</v>
      </c>
      <c r="C66" s="37">
        <v>7</v>
      </c>
      <c r="D66" s="49">
        <v>1.05</v>
      </c>
      <c r="E66" s="6">
        <v>7.3500000000000005</v>
      </c>
      <c r="F66" s="50">
        <v>-3</v>
      </c>
      <c r="G66" s="6">
        <v>4.3500000000000005</v>
      </c>
      <c r="H66" t="s">
        <v>177</v>
      </c>
      <c r="I66" s="1">
        <v>46103</v>
      </c>
      <c r="J66">
        <v>3</v>
      </c>
      <c r="K66" s="38">
        <v>5.4</v>
      </c>
      <c r="L66" s="3">
        <f t="shared" ref="L66:L79" si="2">+K66-E66</f>
        <v>-1.9500000000000002</v>
      </c>
    </row>
    <row r="67" spans="1:12" x14ac:dyDescent="0.25">
      <c r="A67">
        <v>4292</v>
      </c>
      <c r="B67" t="s">
        <v>104</v>
      </c>
      <c r="C67" s="37">
        <v>6</v>
      </c>
      <c r="D67" s="49">
        <v>1.05</v>
      </c>
      <c r="E67" s="6">
        <v>6.3000000000000007</v>
      </c>
      <c r="F67" s="50">
        <v>-3</v>
      </c>
      <c r="G67" s="6">
        <v>3.3000000000000007</v>
      </c>
      <c r="H67" t="s">
        <v>177</v>
      </c>
      <c r="I67" s="1">
        <v>46103</v>
      </c>
      <c r="J67">
        <v>2</v>
      </c>
      <c r="K67" s="38">
        <v>4.2</v>
      </c>
      <c r="L67" s="3">
        <f t="shared" si="2"/>
        <v>-2.1000000000000005</v>
      </c>
    </row>
    <row r="68" spans="1:12" x14ac:dyDescent="0.25">
      <c r="A68">
        <v>3613</v>
      </c>
      <c r="B68" t="s">
        <v>109</v>
      </c>
      <c r="C68" s="37">
        <v>6</v>
      </c>
      <c r="D68" s="49">
        <v>1.05</v>
      </c>
      <c r="E68" s="6">
        <v>6.3000000000000007</v>
      </c>
      <c r="F68" s="50">
        <v>-3</v>
      </c>
      <c r="G68" s="6">
        <v>3.3000000000000007</v>
      </c>
      <c r="H68" t="s">
        <v>177</v>
      </c>
      <c r="I68" s="1">
        <v>46103</v>
      </c>
      <c r="J68">
        <v>2</v>
      </c>
      <c r="K68" s="38">
        <v>4.2</v>
      </c>
      <c r="L68" s="3">
        <f t="shared" si="2"/>
        <v>-2.1000000000000005</v>
      </c>
    </row>
    <row r="69" spans="1:12" x14ac:dyDescent="0.25">
      <c r="A69">
        <v>4521</v>
      </c>
      <c r="B69" t="s">
        <v>122</v>
      </c>
      <c r="C69" s="37">
        <v>6</v>
      </c>
      <c r="D69" s="49">
        <v>1.05</v>
      </c>
      <c r="E69" s="6">
        <v>6.3000000000000007</v>
      </c>
      <c r="F69" s="50">
        <v>-3</v>
      </c>
      <c r="G69" s="6">
        <v>3.3000000000000007</v>
      </c>
      <c r="H69" t="s">
        <v>177</v>
      </c>
      <c r="I69" s="1">
        <v>46103</v>
      </c>
      <c r="J69">
        <v>2</v>
      </c>
      <c r="K69" s="38">
        <v>4.2</v>
      </c>
      <c r="L69" s="3">
        <f t="shared" si="2"/>
        <v>-2.1000000000000005</v>
      </c>
    </row>
    <row r="70" spans="1:12" x14ac:dyDescent="0.25">
      <c r="A70">
        <v>6769</v>
      </c>
      <c r="B70" t="s">
        <v>155</v>
      </c>
      <c r="C70" s="37">
        <v>6</v>
      </c>
      <c r="D70" s="49">
        <v>1.05</v>
      </c>
      <c r="E70" s="6">
        <v>6.3000000000000007</v>
      </c>
      <c r="F70" s="50">
        <v>-3</v>
      </c>
      <c r="G70" s="6">
        <v>3.3000000000000007</v>
      </c>
      <c r="H70" t="s">
        <v>177</v>
      </c>
      <c r="I70" s="1">
        <v>46103</v>
      </c>
      <c r="J70">
        <v>2</v>
      </c>
      <c r="K70" s="38">
        <v>4.2</v>
      </c>
      <c r="L70" s="3">
        <f t="shared" si="2"/>
        <v>-2.1000000000000005</v>
      </c>
    </row>
    <row r="71" spans="1:12" x14ac:dyDescent="0.25">
      <c r="A71">
        <v>5128</v>
      </c>
      <c r="B71" t="s">
        <v>174</v>
      </c>
      <c r="C71" s="37">
        <v>6</v>
      </c>
      <c r="D71" s="49">
        <v>1.05</v>
      </c>
      <c r="E71" s="6">
        <v>6.3000000000000007</v>
      </c>
      <c r="F71" s="50">
        <v>-3</v>
      </c>
      <c r="G71" s="6">
        <v>3.3000000000000007</v>
      </c>
      <c r="H71" t="s">
        <v>177</v>
      </c>
      <c r="I71" s="1">
        <v>46103</v>
      </c>
      <c r="J71">
        <v>2</v>
      </c>
      <c r="K71" s="38">
        <v>4.2</v>
      </c>
      <c r="L71" s="3">
        <f t="shared" si="2"/>
        <v>-2.1000000000000005</v>
      </c>
    </row>
    <row r="72" spans="1:12" x14ac:dyDescent="0.25">
      <c r="A72">
        <v>1246</v>
      </c>
      <c r="B72" t="s">
        <v>103</v>
      </c>
      <c r="C72" s="37">
        <v>5</v>
      </c>
      <c r="D72" s="49">
        <v>1.05</v>
      </c>
      <c r="E72" s="6">
        <v>5.25</v>
      </c>
      <c r="F72" s="50">
        <v>-3</v>
      </c>
      <c r="G72" s="6">
        <v>2.25</v>
      </c>
      <c r="H72" t="s">
        <v>177</v>
      </c>
      <c r="I72" s="1">
        <v>46103</v>
      </c>
      <c r="J72">
        <v>1</v>
      </c>
      <c r="K72" s="38">
        <v>3</v>
      </c>
      <c r="L72" s="3">
        <f t="shared" si="2"/>
        <v>-2.25</v>
      </c>
    </row>
    <row r="73" spans="1:12" x14ac:dyDescent="0.25">
      <c r="A73">
        <v>4179</v>
      </c>
      <c r="B73" t="s">
        <v>132</v>
      </c>
      <c r="C73" s="37">
        <v>5</v>
      </c>
      <c r="D73" s="49">
        <v>1.05</v>
      </c>
      <c r="E73" s="6">
        <v>5.25</v>
      </c>
      <c r="F73" s="50">
        <v>-3</v>
      </c>
      <c r="G73" s="6">
        <v>2.25</v>
      </c>
      <c r="H73" t="s">
        <v>177</v>
      </c>
      <c r="I73" s="1">
        <v>46103</v>
      </c>
      <c r="J73">
        <v>1</v>
      </c>
      <c r="K73" s="38">
        <v>3</v>
      </c>
      <c r="L73" s="3">
        <f t="shared" si="2"/>
        <v>-2.25</v>
      </c>
    </row>
    <row r="74" spans="1:12" x14ac:dyDescent="0.25">
      <c r="A74">
        <v>3804</v>
      </c>
      <c r="B74" t="s">
        <v>141</v>
      </c>
      <c r="C74" s="37">
        <v>5</v>
      </c>
      <c r="D74" s="49">
        <v>1.05</v>
      </c>
      <c r="E74" s="6">
        <v>5.25</v>
      </c>
      <c r="F74" s="50">
        <v>-3</v>
      </c>
      <c r="G74" s="6">
        <v>2.25</v>
      </c>
      <c r="H74" t="s">
        <v>177</v>
      </c>
      <c r="I74" s="1">
        <v>46103</v>
      </c>
      <c r="J74">
        <v>1</v>
      </c>
      <c r="K74" s="38">
        <v>3</v>
      </c>
      <c r="L74" s="3">
        <f t="shared" si="2"/>
        <v>-2.25</v>
      </c>
    </row>
    <row r="75" spans="1:12" x14ac:dyDescent="0.25">
      <c r="A75">
        <v>3804</v>
      </c>
      <c r="B75" t="s">
        <v>142</v>
      </c>
      <c r="C75" s="37">
        <v>5</v>
      </c>
      <c r="D75" s="49">
        <v>1.05</v>
      </c>
      <c r="E75" s="6">
        <v>5.25</v>
      </c>
      <c r="F75" s="50">
        <v>-3</v>
      </c>
      <c r="G75" s="6">
        <v>2.25</v>
      </c>
      <c r="H75" t="s">
        <v>177</v>
      </c>
      <c r="I75" s="1">
        <v>46103</v>
      </c>
      <c r="J75">
        <v>1</v>
      </c>
      <c r="K75" s="38">
        <v>3</v>
      </c>
      <c r="L75" s="3">
        <f t="shared" si="2"/>
        <v>-2.25</v>
      </c>
    </row>
    <row r="76" spans="1:12" x14ac:dyDescent="0.25">
      <c r="A76">
        <v>3804</v>
      </c>
      <c r="B76" t="s">
        <v>143</v>
      </c>
      <c r="C76" s="37">
        <v>5</v>
      </c>
      <c r="D76" s="49">
        <v>1.05</v>
      </c>
      <c r="E76" s="6">
        <v>5.25</v>
      </c>
      <c r="F76" s="50">
        <v>-3</v>
      </c>
      <c r="G76" s="6">
        <v>2.25</v>
      </c>
      <c r="H76" t="s">
        <v>177</v>
      </c>
      <c r="I76" s="1">
        <v>46103</v>
      </c>
      <c r="J76">
        <v>1</v>
      </c>
      <c r="K76" s="38">
        <v>3</v>
      </c>
      <c r="L76" s="3">
        <f t="shared" si="2"/>
        <v>-2.25</v>
      </c>
    </row>
    <row r="77" spans="1:12" x14ac:dyDescent="0.25">
      <c r="A77">
        <v>630</v>
      </c>
      <c r="B77" t="s">
        <v>149</v>
      </c>
      <c r="C77" s="37">
        <v>5</v>
      </c>
      <c r="D77" s="49">
        <v>1.05</v>
      </c>
      <c r="E77" s="6">
        <v>5.25</v>
      </c>
      <c r="F77" s="50">
        <v>-3</v>
      </c>
      <c r="G77" s="6">
        <v>2.25</v>
      </c>
      <c r="H77" t="s">
        <v>177</v>
      </c>
      <c r="I77" s="1">
        <v>46103</v>
      </c>
      <c r="J77">
        <v>1</v>
      </c>
      <c r="K77" s="38">
        <v>3</v>
      </c>
      <c r="L77" s="3">
        <f t="shared" si="2"/>
        <v>-2.25</v>
      </c>
    </row>
    <row r="78" spans="1:12" x14ac:dyDescent="0.25">
      <c r="A78">
        <v>3424</v>
      </c>
      <c r="B78" t="s">
        <v>150</v>
      </c>
      <c r="C78" s="37">
        <v>5</v>
      </c>
      <c r="D78" s="49">
        <v>1.05</v>
      </c>
      <c r="E78" s="6">
        <v>5.25</v>
      </c>
      <c r="F78" s="50">
        <v>-3</v>
      </c>
      <c r="G78" s="6">
        <v>2.25</v>
      </c>
      <c r="H78" t="s">
        <v>177</v>
      </c>
      <c r="I78" s="1">
        <v>46103</v>
      </c>
      <c r="J78">
        <v>1</v>
      </c>
      <c r="K78" s="38">
        <v>3</v>
      </c>
      <c r="L78" s="3">
        <f t="shared" si="2"/>
        <v>-2.25</v>
      </c>
    </row>
    <row r="79" spans="1:12" x14ac:dyDescent="0.25">
      <c r="A79">
        <v>3890</v>
      </c>
      <c r="B79" t="s">
        <v>171</v>
      </c>
      <c r="C79" s="37">
        <v>5</v>
      </c>
      <c r="D79" s="49">
        <v>1.05</v>
      </c>
      <c r="E79" s="6">
        <v>5.25</v>
      </c>
      <c r="F79" s="50">
        <v>-3</v>
      </c>
      <c r="G79" s="6">
        <v>2.25</v>
      </c>
      <c r="H79" t="s">
        <v>177</v>
      </c>
      <c r="I79" s="1">
        <v>46103</v>
      </c>
      <c r="J79">
        <v>1</v>
      </c>
      <c r="K79" s="38">
        <v>3</v>
      </c>
      <c r="L79" s="3">
        <f t="shared" si="2"/>
        <v>-2.25</v>
      </c>
    </row>
    <row r="81" spans="1:12" x14ac:dyDescent="0.25">
      <c r="A81" s="35">
        <f>COUNTA(A2:A79)</f>
        <v>78</v>
      </c>
      <c r="B81" s="11" t="s">
        <v>8</v>
      </c>
      <c r="C81" s="7">
        <f>SUM(C2:C79)</f>
        <v>3326</v>
      </c>
      <c r="D81" s="12"/>
      <c r="E81" s="30">
        <f>+SUM(E2:E80)</f>
        <v>3578.2050000000027</v>
      </c>
      <c r="F81" s="7">
        <f>SUM(F2:F79)</f>
        <v>-219</v>
      </c>
      <c r="G81" s="8">
        <f>+SUM(G2:G79)</f>
        <v>3359.2050000000027</v>
      </c>
      <c r="H81" s="20">
        <f>COUNTA(H2:H79)</f>
        <v>78</v>
      </c>
      <c r="L81" s="36">
        <f>SUM(L2:L79)</f>
        <v>-51.705000000000148</v>
      </c>
    </row>
  </sheetData>
  <autoFilter ref="A1:L79" xr:uid="{636175C4-8176-4F50-9A39-5C647C8CD5F9}">
    <sortState xmlns:xlrd2="http://schemas.microsoft.com/office/spreadsheetml/2017/richdata2" ref="A2:L79">
      <sortCondition descending="1" ref="C2:C7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BC67-F6F8-46FF-8590-1344E826D676}">
  <sheetPr codeName="Sheet5"/>
  <dimension ref="A1:L26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8.710937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4737</v>
      </c>
      <c r="B2" t="s">
        <v>185</v>
      </c>
      <c r="C2" s="37">
        <v>750</v>
      </c>
      <c r="D2" s="5">
        <v>1.1000000000000001</v>
      </c>
      <c r="E2" s="6">
        <v>825.00000000000011</v>
      </c>
      <c r="F2" s="4">
        <v>-3</v>
      </c>
      <c r="G2" s="6">
        <v>822.00000000000011</v>
      </c>
      <c r="H2" t="s">
        <v>177</v>
      </c>
      <c r="I2" s="1">
        <v>46110</v>
      </c>
      <c r="J2">
        <v>13</v>
      </c>
      <c r="K2" s="38">
        <v>832.5</v>
      </c>
      <c r="L2" s="3">
        <f t="shared" ref="L2:L24" si="0">+K2-E2</f>
        <v>7.4999999999998863</v>
      </c>
    </row>
    <row r="3" spans="1:12" x14ac:dyDescent="0.25">
      <c r="A3">
        <v>4988</v>
      </c>
      <c r="B3" t="s">
        <v>186</v>
      </c>
      <c r="C3" s="37">
        <v>140</v>
      </c>
      <c r="D3" s="29">
        <v>1.075</v>
      </c>
      <c r="E3" s="6">
        <v>150.5</v>
      </c>
      <c r="F3" s="4">
        <v>-3</v>
      </c>
      <c r="G3" s="6">
        <v>147.5</v>
      </c>
      <c r="H3" t="s">
        <v>177</v>
      </c>
      <c r="I3" s="1">
        <v>46110</v>
      </c>
      <c r="J3">
        <v>17</v>
      </c>
      <c r="K3" s="38">
        <v>154</v>
      </c>
      <c r="L3" s="3">
        <f t="shared" si="0"/>
        <v>3.5</v>
      </c>
    </row>
    <row r="4" spans="1:12" x14ac:dyDescent="0.25">
      <c r="A4">
        <v>5043</v>
      </c>
      <c r="B4" t="s">
        <v>178</v>
      </c>
      <c r="C4" s="37">
        <v>110</v>
      </c>
      <c r="D4" s="29">
        <v>1.075</v>
      </c>
      <c r="E4" s="6">
        <v>118.25</v>
      </c>
      <c r="F4" s="4">
        <v>-3</v>
      </c>
      <c r="G4" s="6">
        <v>115.25</v>
      </c>
      <c r="H4" t="s">
        <v>177</v>
      </c>
      <c r="I4" s="1">
        <v>46110</v>
      </c>
      <c r="J4">
        <v>13</v>
      </c>
      <c r="K4" s="38">
        <v>121</v>
      </c>
      <c r="L4" s="3">
        <f t="shared" si="0"/>
        <v>2.75</v>
      </c>
    </row>
    <row r="5" spans="1:12" x14ac:dyDescent="0.25">
      <c r="A5">
        <v>4997</v>
      </c>
      <c r="B5" t="s">
        <v>146</v>
      </c>
      <c r="C5" s="37">
        <v>94</v>
      </c>
      <c r="D5" s="29">
        <v>1.075</v>
      </c>
      <c r="E5" s="6">
        <v>101.05</v>
      </c>
      <c r="F5" s="4">
        <v>-3</v>
      </c>
      <c r="G5" s="6">
        <v>98.05</v>
      </c>
      <c r="H5" t="s">
        <v>177</v>
      </c>
      <c r="I5" s="1">
        <v>46110</v>
      </c>
      <c r="J5">
        <v>13</v>
      </c>
      <c r="K5" s="38">
        <v>101.52</v>
      </c>
      <c r="L5" s="3">
        <f t="shared" si="0"/>
        <v>0.46999999999999886</v>
      </c>
    </row>
    <row r="6" spans="1:12" x14ac:dyDescent="0.25">
      <c r="A6">
        <v>4847</v>
      </c>
      <c r="B6" t="s">
        <v>183</v>
      </c>
      <c r="C6" s="37">
        <v>90</v>
      </c>
      <c r="D6" s="29">
        <v>1.075</v>
      </c>
      <c r="E6" s="6">
        <v>96.75</v>
      </c>
      <c r="F6" s="4">
        <v>-3</v>
      </c>
      <c r="G6" s="6">
        <v>93.75</v>
      </c>
      <c r="H6" t="s">
        <v>177</v>
      </c>
      <c r="I6" s="1">
        <v>46110</v>
      </c>
      <c r="J6">
        <v>22</v>
      </c>
      <c r="K6" s="38">
        <v>97.2</v>
      </c>
      <c r="L6" s="3">
        <f t="shared" si="0"/>
        <v>0.45000000000000284</v>
      </c>
    </row>
    <row r="7" spans="1:12" x14ac:dyDescent="0.25">
      <c r="A7">
        <v>6598</v>
      </c>
      <c r="B7" t="s">
        <v>190</v>
      </c>
      <c r="C7" s="37">
        <v>70</v>
      </c>
      <c r="D7" s="29">
        <v>1.075</v>
      </c>
      <c r="E7" s="6">
        <v>75.25</v>
      </c>
      <c r="F7" s="4"/>
      <c r="G7" s="6">
        <v>72.25</v>
      </c>
      <c r="H7" t="s">
        <v>177</v>
      </c>
      <c r="I7" s="1">
        <v>46110</v>
      </c>
      <c r="J7">
        <v>25</v>
      </c>
      <c r="K7" s="38">
        <v>75.599999999999994</v>
      </c>
      <c r="L7" s="3">
        <f t="shared" si="0"/>
        <v>0.34999999999999432</v>
      </c>
    </row>
    <row r="8" spans="1:12" x14ac:dyDescent="0.25">
      <c r="A8">
        <v>5020</v>
      </c>
      <c r="B8" t="s">
        <v>196</v>
      </c>
      <c r="C8" s="37">
        <v>66</v>
      </c>
      <c r="D8" s="29">
        <v>1.075</v>
      </c>
      <c r="E8" s="6">
        <v>70.95</v>
      </c>
      <c r="F8" s="4">
        <v>-3</v>
      </c>
      <c r="G8" s="6">
        <v>67.95</v>
      </c>
      <c r="H8" t="s">
        <v>177</v>
      </c>
      <c r="I8" s="1">
        <v>46110</v>
      </c>
      <c r="J8">
        <v>10</v>
      </c>
      <c r="K8" s="38">
        <v>71.28</v>
      </c>
      <c r="L8" s="3">
        <f t="shared" si="0"/>
        <v>0.32999999999999829</v>
      </c>
    </row>
    <row r="9" spans="1:12" x14ac:dyDescent="0.25">
      <c r="A9">
        <v>4762</v>
      </c>
      <c r="B9" t="s">
        <v>195</v>
      </c>
      <c r="C9" s="37">
        <v>60</v>
      </c>
      <c r="D9" s="29">
        <v>1.075</v>
      </c>
      <c r="E9" s="6">
        <v>64.5</v>
      </c>
      <c r="F9" s="4">
        <v>-3</v>
      </c>
      <c r="G9" s="6">
        <v>61.5</v>
      </c>
      <c r="H9" t="s">
        <v>177</v>
      </c>
      <c r="I9" s="1">
        <v>46110</v>
      </c>
      <c r="J9">
        <v>17</v>
      </c>
      <c r="K9" s="38">
        <v>64.8</v>
      </c>
      <c r="L9" s="3">
        <f t="shared" si="0"/>
        <v>0.29999999999999716</v>
      </c>
    </row>
    <row r="10" spans="1:12" x14ac:dyDescent="0.25">
      <c r="A10">
        <v>4931</v>
      </c>
      <c r="B10" t="s">
        <v>189</v>
      </c>
      <c r="C10" s="37">
        <v>54</v>
      </c>
      <c r="D10" s="29">
        <v>1.075</v>
      </c>
      <c r="E10" s="6">
        <v>58.05</v>
      </c>
      <c r="F10" s="4">
        <v>-3</v>
      </c>
      <c r="G10" s="6">
        <v>55.05</v>
      </c>
      <c r="H10" t="s">
        <v>177</v>
      </c>
      <c r="I10" s="1">
        <v>46110</v>
      </c>
      <c r="J10">
        <v>9</v>
      </c>
      <c r="K10" s="38">
        <v>58.32</v>
      </c>
      <c r="L10" s="3">
        <f t="shared" si="0"/>
        <v>0.27000000000000313</v>
      </c>
    </row>
    <row r="11" spans="1:12" x14ac:dyDescent="0.25">
      <c r="A11">
        <v>5104</v>
      </c>
      <c r="B11" t="s">
        <v>182</v>
      </c>
      <c r="C11" s="37">
        <v>52</v>
      </c>
      <c r="D11" s="29">
        <v>1.075</v>
      </c>
      <c r="E11" s="6">
        <v>55.9</v>
      </c>
      <c r="F11" s="4">
        <v>-3</v>
      </c>
      <c r="G11" s="6">
        <v>52.9</v>
      </c>
      <c r="H11" t="s">
        <v>177</v>
      </c>
      <c r="I11" s="1">
        <v>46110</v>
      </c>
      <c r="J11">
        <v>6</v>
      </c>
      <c r="K11" s="38">
        <v>56.16</v>
      </c>
      <c r="L11" s="3">
        <f t="shared" si="0"/>
        <v>0.25999999999999801</v>
      </c>
    </row>
    <row r="12" spans="1:12" x14ac:dyDescent="0.25">
      <c r="A12">
        <v>5063</v>
      </c>
      <c r="B12" t="s">
        <v>193</v>
      </c>
      <c r="C12" s="37">
        <v>50</v>
      </c>
      <c r="D12" s="29">
        <v>1.075</v>
      </c>
      <c r="E12" s="6">
        <v>53.75</v>
      </c>
      <c r="F12" s="4">
        <v>-3</v>
      </c>
      <c r="G12" s="6">
        <v>50.75</v>
      </c>
      <c r="H12" t="s">
        <v>177</v>
      </c>
      <c r="I12" s="1">
        <v>46110</v>
      </c>
      <c r="J12">
        <v>7</v>
      </c>
      <c r="K12" s="38">
        <v>54</v>
      </c>
      <c r="L12" s="3">
        <f t="shared" si="0"/>
        <v>0.25</v>
      </c>
    </row>
    <row r="13" spans="1:12" x14ac:dyDescent="0.25">
      <c r="A13">
        <v>3934</v>
      </c>
      <c r="B13" t="s">
        <v>191</v>
      </c>
      <c r="C13" s="37">
        <v>45</v>
      </c>
      <c r="D13" s="5">
        <v>1.05</v>
      </c>
      <c r="E13" s="6">
        <v>47.25</v>
      </c>
      <c r="F13" s="4"/>
      <c r="G13" s="6">
        <v>44.25</v>
      </c>
      <c r="H13" t="s">
        <v>177</v>
      </c>
      <c r="I13" s="1">
        <v>46110</v>
      </c>
      <c r="J13">
        <v>12</v>
      </c>
      <c r="K13" s="38">
        <v>45.9</v>
      </c>
      <c r="L13" s="3">
        <f t="shared" si="0"/>
        <v>-1.3500000000000014</v>
      </c>
    </row>
    <row r="14" spans="1:12" x14ac:dyDescent="0.25">
      <c r="A14">
        <v>4992</v>
      </c>
      <c r="B14" t="s">
        <v>166</v>
      </c>
      <c r="C14" s="37">
        <v>27</v>
      </c>
      <c r="D14" s="5">
        <v>1.05</v>
      </c>
      <c r="E14" s="6">
        <v>28.35</v>
      </c>
      <c r="F14" s="4">
        <v>-3</v>
      </c>
      <c r="G14" s="6">
        <v>25.35</v>
      </c>
      <c r="H14" t="s">
        <v>177</v>
      </c>
      <c r="I14" s="1">
        <v>46110</v>
      </c>
      <c r="J14">
        <v>8</v>
      </c>
      <c r="K14" s="38">
        <v>27.54</v>
      </c>
      <c r="L14" s="3">
        <f t="shared" si="0"/>
        <v>-0.81000000000000227</v>
      </c>
    </row>
    <row r="15" spans="1:12" x14ac:dyDescent="0.25">
      <c r="A15">
        <v>6600</v>
      </c>
      <c r="B15" t="s">
        <v>192</v>
      </c>
      <c r="C15" s="37">
        <v>24</v>
      </c>
      <c r="D15" s="5">
        <v>1.05</v>
      </c>
      <c r="E15" s="6">
        <v>25.200000000000003</v>
      </c>
      <c r="F15" s="4"/>
      <c r="G15" s="6">
        <v>22.200000000000003</v>
      </c>
      <c r="H15" t="s">
        <v>177</v>
      </c>
      <c r="I15" s="1">
        <v>46110</v>
      </c>
      <c r="J15">
        <v>13</v>
      </c>
      <c r="K15" s="38">
        <v>24.48</v>
      </c>
      <c r="L15" s="3">
        <f t="shared" si="0"/>
        <v>-0.72000000000000242</v>
      </c>
    </row>
    <row r="16" spans="1:12" x14ac:dyDescent="0.25">
      <c r="A16">
        <v>2098</v>
      </c>
      <c r="B16" t="s">
        <v>188</v>
      </c>
      <c r="C16" s="37">
        <v>21</v>
      </c>
      <c r="D16" s="5">
        <v>1.05</v>
      </c>
      <c r="E16" s="6">
        <v>22.05</v>
      </c>
      <c r="F16" s="4">
        <v>-3</v>
      </c>
      <c r="G16" s="6">
        <v>19.05</v>
      </c>
      <c r="H16" t="s">
        <v>177</v>
      </c>
      <c r="I16" s="1">
        <v>46110</v>
      </c>
      <c r="J16">
        <v>5</v>
      </c>
      <c r="K16" s="38">
        <v>21.42</v>
      </c>
      <c r="L16" s="3">
        <f t="shared" si="0"/>
        <v>-0.62999999999999901</v>
      </c>
    </row>
    <row r="17" spans="1:12" x14ac:dyDescent="0.25">
      <c r="A17">
        <v>2097</v>
      </c>
      <c r="B17" t="s">
        <v>188</v>
      </c>
      <c r="C17" s="37">
        <v>21</v>
      </c>
      <c r="D17" s="5">
        <v>1.05</v>
      </c>
      <c r="E17" s="6">
        <v>22.05</v>
      </c>
      <c r="F17" s="4">
        <v>-3</v>
      </c>
      <c r="G17" s="6">
        <v>19.05</v>
      </c>
      <c r="H17" t="s">
        <v>177</v>
      </c>
      <c r="I17" s="1">
        <v>46110</v>
      </c>
      <c r="J17">
        <v>5</v>
      </c>
      <c r="K17" s="38">
        <v>21.42</v>
      </c>
      <c r="L17" s="3">
        <f t="shared" si="0"/>
        <v>-0.62999999999999901</v>
      </c>
    </row>
    <row r="18" spans="1:12" x14ac:dyDescent="0.25">
      <c r="A18">
        <v>2096</v>
      </c>
      <c r="B18" t="s">
        <v>162</v>
      </c>
      <c r="C18" s="37">
        <v>18</v>
      </c>
      <c r="D18" s="5">
        <v>1.05</v>
      </c>
      <c r="E18" s="6">
        <v>18.900000000000002</v>
      </c>
      <c r="F18" s="4">
        <v>-3</v>
      </c>
      <c r="G18" s="6">
        <v>18.900000000000002</v>
      </c>
      <c r="H18" t="s">
        <v>177</v>
      </c>
      <c r="I18" s="1">
        <v>46110</v>
      </c>
      <c r="J18">
        <v>6</v>
      </c>
      <c r="K18" s="38">
        <v>18.36</v>
      </c>
      <c r="L18" s="3">
        <f t="shared" si="0"/>
        <v>-0.5400000000000027</v>
      </c>
    </row>
    <row r="19" spans="1:12" x14ac:dyDescent="0.25">
      <c r="A19">
        <v>4555</v>
      </c>
      <c r="B19" t="s">
        <v>181</v>
      </c>
      <c r="C19" s="37">
        <v>14</v>
      </c>
      <c r="D19" s="5">
        <v>1.05</v>
      </c>
      <c r="E19" s="6">
        <v>14.700000000000001</v>
      </c>
      <c r="F19" s="4">
        <v>-3</v>
      </c>
      <c r="G19" s="6">
        <v>14.700000000000001</v>
      </c>
      <c r="H19" t="s">
        <v>177</v>
      </c>
      <c r="I19" s="1">
        <v>46110</v>
      </c>
      <c r="J19">
        <v>8</v>
      </c>
      <c r="K19" s="38">
        <v>13.8</v>
      </c>
      <c r="L19" s="3">
        <f t="shared" si="0"/>
        <v>-0.90000000000000036</v>
      </c>
    </row>
    <row r="20" spans="1:12" x14ac:dyDescent="0.25">
      <c r="A20">
        <v>4554</v>
      </c>
      <c r="B20" t="s">
        <v>180</v>
      </c>
      <c r="C20" s="37">
        <v>13</v>
      </c>
      <c r="D20" s="5">
        <v>1.05</v>
      </c>
      <c r="E20" s="6">
        <v>13.65</v>
      </c>
      <c r="F20" s="4">
        <v>-3</v>
      </c>
      <c r="G20" s="6">
        <v>13.65</v>
      </c>
      <c r="H20" t="s">
        <v>177</v>
      </c>
      <c r="I20" s="1">
        <v>46110</v>
      </c>
      <c r="J20">
        <v>7</v>
      </c>
      <c r="K20" s="38">
        <v>12.6</v>
      </c>
      <c r="L20" s="3">
        <f t="shared" si="0"/>
        <v>-1.0500000000000007</v>
      </c>
    </row>
    <row r="21" spans="1:12" x14ac:dyDescent="0.25">
      <c r="A21">
        <v>5110</v>
      </c>
      <c r="B21" t="s">
        <v>187</v>
      </c>
      <c r="C21" s="37">
        <v>13</v>
      </c>
      <c r="D21" s="5">
        <v>1.05</v>
      </c>
      <c r="E21" s="6">
        <v>13.65</v>
      </c>
      <c r="F21" s="4">
        <v>-3</v>
      </c>
      <c r="G21" s="6">
        <v>10.65</v>
      </c>
      <c r="H21" t="s">
        <v>177</v>
      </c>
      <c r="I21" s="1">
        <v>46110</v>
      </c>
      <c r="J21">
        <v>3</v>
      </c>
      <c r="K21" s="38">
        <v>12.6</v>
      </c>
      <c r="L21" s="3">
        <f t="shared" si="0"/>
        <v>-1.0500000000000007</v>
      </c>
    </row>
    <row r="22" spans="1:12" x14ac:dyDescent="0.25">
      <c r="A22">
        <v>4792</v>
      </c>
      <c r="B22" t="s">
        <v>194</v>
      </c>
      <c r="C22" s="37">
        <v>13</v>
      </c>
      <c r="D22" s="5">
        <v>1.05</v>
      </c>
      <c r="E22" s="6">
        <v>13.65</v>
      </c>
      <c r="F22" s="4">
        <v>-3</v>
      </c>
      <c r="G22" s="6">
        <v>10.65</v>
      </c>
      <c r="H22" t="s">
        <v>177</v>
      </c>
      <c r="I22" s="1">
        <v>46110</v>
      </c>
      <c r="J22">
        <v>5</v>
      </c>
      <c r="K22" s="38">
        <v>12.6</v>
      </c>
      <c r="L22" s="3">
        <f t="shared" si="0"/>
        <v>-1.0500000000000007</v>
      </c>
    </row>
    <row r="23" spans="1:12" x14ac:dyDescent="0.25">
      <c r="A23">
        <v>4999</v>
      </c>
      <c r="B23" t="s">
        <v>179</v>
      </c>
      <c r="C23" s="37">
        <v>12</v>
      </c>
      <c r="D23" s="5">
        <v>1.05</v>
      </c>
      <c r="E23" s="6">
        <v>12.600000000000001</v>
      </c>
      <c r="F23" s="4">
        <v>-3</v>
      </c>
      <c r="G23" s="6">
        <v>9.6000000000000014</v>
      </c>
      <c r="H23" t="s">
        <v>177</v>
      </c>
      <c r="I23" s="1">
        <v>46110</v>
      </c>
      <c r="J23">
        <v>4</v>
      </c>
      <c r="K23" s="38">
        <v>11.4</v>
      </c>
      <c r="L23" s="3">
        <f t="shared" si="0"/>
        <v>-1.2000000000000011</v>
      </c>
    </row>
    <row r="24" spans="1:12" x14ac:dyDescent="0.25">
      <c r="A24">
        <v>4556</v>
      </c>
      <c r="B24" t="s">
        <v>184</v>
      </c>
      <c r="C24" s="37">
        <v>11</v>
      </c>
      <c r="D24" s="5">
        <v>1.05</v>
      </c>
      <c r="E24" s="6">
        <v>11.55</v>
      </c>
      <c r="F24" s="4">
        <v>-3</v>
      </c>
      <c r="G24" s="6">
        <v>8.5500000000000007</v>
      </c>
      <c r="H24" t="s">
        <v>177</v>
      </c>
      <c r="I24" s="1">
        <v>46110</v>
      </c>
      <c r="J24">
        <v>7</v>
      </c>
      <c r="K24" s="38">
        <v>10.199999999999999</v>
      </c>
      <c r="L24" s="3">
        <f t="shared" si="0"/>
        <v>-1.3500000000000014</v>
      </c>
    </row>
    <row r="26" spans="1:12" x14ac:dyDescent="0.25">
      <c r="A26" s="35">
        <f>COUNTA(A2:A24)</f>
        <v>23</v>
      </c>
      <c r="B26" s="11" t="s">
        <v>8</v>
      </c>
      <c r="C26" s="7">
        <f>SUM(C2:C24)</f>
        <v>1768</v>
      </c>
      <c r="D26" s="12"/>
      <c r="E26" s="30">
        <f>+SUM(E2:E25)</f>
        <v>1913.5500000000002</v>
      </c>
      <c r="F26" s="7">
        <f>SUM(F2:F24)</f>
        <v>-60</v>
      </c>
      <c r="G26" s="8">
        <f>+SUM(G2:G24)</f>
        <v>1853.5500000000002</v>
      </c>
      <c r="H26" s="20">
        <f>COUNTA(H2:H24)</f>
        <v>23</v>
      </c>
      <c r="L26" s="36">
        <f>SUM(L2:L24)</f>
        <v>5.1499999999998671</v>
      </c>
    </row>
  </sheetData>
  <autoFilter ref="A1:L24" xr:uid="{636175C4-8176-4F50-9A39-5C647C8CD5F9}"/>
  <sortState xmlns:xlrd2="http://schemas.microsoft.com/office/spreadsheetml/2017/richdata2" ref="A2:C24">
    <sortCondition descending="1" ref="C2:C2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899E-2F4B-4731-921C-243F1A119218}">
  <dimension ref="A1:L6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4911</v>
      </c>
      <c r="B2" t="s">
        <v>166</v>
      </c>
      <c r="C2" s="37">
        <v>37</v>
      </c>
      <c r="D2" s="5">
        <v>1.05</v>
      </c>
      <c r="E2" s="6">
        <v>38.85</v>
      </c>
      <c r="F2" s="4">
        <v>-3</v>
      </c>
      <c r="G2" s="6">
        <v>35.85</v>
      </c>
      <c r="H2" t="s">
        <v>177</v>
      </c>
      <c r="I2" s="1">
        <v>46117</v>
      </c>
      <c r="J2">
        <v>11</v>
      </c>
      <c r="K2" s="38">
        <v>37.74</v>
      </c>
      <c r="L2" s="3">
        <f t="shared" ref="L2:L4" si="0">+K2-E2</f>
        <v>-1.1099999999999994</v>
      </c>
    </row>
    <row r="3" spans="1:12" x14ac:dyDescent="0.25">
      <c r="A3">
        <v>4912</v>
      </c>
      <c r="B3" t="s">
        <v>166</v>
      </c>
      <c r="C3" s="37">
        <v>40</v>
      </c>
      <c r="D3" s="5">
        <v>1.05</v>
      </c>
      <c r="E3" s="6">
        <v>42</v>
      </c>
      <c r="F3" s="4">
        <v>-3</v>
      </c>
      <c r="G3" s="6">
        <v>39</v>
      </c>
      <c r="H3" t="s">
        <v>177</v>
      </c>
      <c r="I3" s="1">
        <v>46117</v>
      </c>
      <c r="J3">
        <v>12</v>
      </c>
      <c r="K3" s="38">
        <v>40.799999999999997</v>
      </c>
      <c r="L3" s="3">
        <f t="shared" si="0"/>
        <v>-1.2000000000000028</v>
      </c>
    </row>
    <row r="4" spans="1:12" x14ac:dyDescent="0.25">
      <c r="A4">
        <v>4786</v>
      </c>
      <c r="B4" t="s">
        <v>197</v>
      </c>
      <c r="C4" s="37">
        <v>8</v>
      </c>
      <c r="D4" s="5">
        <v>1.05</v>
      </c>
      <c r="E4" s="6">
        <v>8.4</v>
      </c>
      <c r="F4" s="4">
        <v>-3</v>
      </c>
      <c r="G4" s="6">
        <v>5.4</v>
      </c>
      <c r="H4" t="s">
        <v>177</v>
      </c>
      <c r="I4" s="1">
        <v>46117</v>
      </c>
      <c r="J4">
        <v>3</v>
      </c>
      <c r="K4" s="38">
        <v>6.6</v>
      </c>
      <c r="L4" s="3">
        <f t="shared" si="0"/>
        <v>-1.8000000000000007</v>
      </c>
    </row>
    <row r="6" spans="1:12" x14ac:dyDescent="0.25">
      <c r="A6" s="35">
        <f>COUNTA(A2:A4)</f>
        <v>3</v>
      </c>
      <c r="B6" s="11" t="s">
        <v>8</v>
      </c>
      <c r="C6" s="7">
        <f>SUM(C2:C4)</f>
        <v>85</v>
      </c>
      <c r="D6" s="12"/>
      <c r="E6" s="30">
        <f>+SUM(E2:E5)</f>
        <v>89.25</v>
      </c>
      <c r="F6" s="7">
        <f>SUM(F2:F4)</f>
        <v>-9</v>
      </c>
      <c r="G6" s="8">
        <f>+SUM(G2:G4)</f>
        <v>80.25</v>
      </c>
      <c r="H6" s="20">
        <f>COUNTA(H2:H4)</f>
        <v>3</v>
      </c>
      <c r="L6" s="36">
        <f>SUM(L2:L4)</f>
        <v>-4.110000000000003</v>
      </c>
    </row>
  </sheetData>
  <autoFilter ref="A1:L4" xr:uid="{636175C4-8176-4F50-9A39-5C647C8CD5F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0CE7-392E-48FA-8517-1512658541B3}">
  <dimension ref="A1:L14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1908</v>
      </c>
      <c r="B2" t="s">
        <v>198</v>
      </c>
      <c r="C2" s="37">
        <v>320</v>
      </c>
      <c r="D2" s="51">
        <v>1.1000000000000001</v>
      </c>
      <c r="E2" s="6">
        <v>352</v>
      </c>
      <c r="F2" s="4">
        <v>-3</v>
      </c>
      <c r="G2" s="6">
        <v>349</v>
      </c>
      <c r="H2" t="s">
        <v>177</v>
      </c>
      <c r="I2" s="1">
        <v>46124</v>
      </c>
      <c r="J2">
        <v>22</v>
      </c>
      <c r="K2" s="38">
        <v>355.2</v>
      </c>
      <c r="L2" s="3">
        <f t="shared" ref="L2:L12" si="0">+K2-E2</f>
        <v>3.1999999999999886</v>
      </c>
    </row>
    <row r="3" spans="1:12" x14ac:dyDescent="0.25">
      <c r="A3">
        <v>2208</v>
      </c>
      <c r="B3" t="s">
        <v>201</v>
      </c>
      <c r="C3" s="37">
        <v>45</v>
      </c>
      <c r="D3" s="51">
        <v>1.05</v>
      </c>
      <c r="E3" s="6">
        <v>47.25</v>
      </c>
      <c r="F3" s="4">
        <v>-3</v>
      </c>
      <c r="G3" s="6">
        <v>44.25</v>
      </c>
      <c r="H3" t="s">
        <v>177</v>
      </c>
      <c r="I3" s="1">
        <v>46124</v>
      </c>
      <c r="J3">
        <v>10</v>
      </c>
      <c r="K3" s="38">
        <v>45.9</v>
      </c>
      <c r="L3" s="3">
        <f t="shared" si="0"/>
        <v>-1.3500000000000014</v>
      </c>
    </row>
    <row r="4" spans="1:12" x14ac:dyDescent="0.25">
      <c r="A4">
        <v>2106</v>
      </c>
      <c r="B4" t="s">
        <v>203</v>
      </c>
      <c r="C4" s="37">
        <v>41</v>
      </c>
      <c r="D4" s="51">
        <v>1.05</v>
      </c>
      <c r="E4" s="6">
        <v>43.050000000000004</v>
      </c>
      <c r="F4" s="4">
        <v>-3</v>
      </c>
      <c r="G4" s="6">
        <v>40.050000000000004</v>
      </c>
      <c r="H4" t="s">
        <v>177</v>
      </c>
      <c r="I4" s="1">
        <v>46124</v>
      </c>
      <c r="J4">
        <v>11</v>
      </c>
      <c r="K4" s="38">
        <v>41.82</v>
      </c>
      <c r="L4" s="3">
        <f t="shared" si="0"/>
        <v>-1.230000000000004</v>
      </c>
    </row>
    <row r="5" spans="1:12" x14ac:dyDescent="0.25">
      <c r="A5">
        <v>2011</v>
      </c>
      <c r="B5" t="s">
        <v>199</v>
      </c>
      <c r="C5" s="37">
        <v>16</v>
      </c>
      <c r="D5" s="51">
        <v>1.05</v>
      </c>
      <c r="E5" s="6">
        <v>16.8</v>
      </c>
      <c r="F5" s="4">
        <v>-3</v>
      </c>
      <c r="G5" s="6">
        <v>13.8</v>
      </c>
      <c r="H5" t="s">
        <v>177</v>
      </c>
      <c r="I5" s="1">
        <v>46124</v>
      </c>
      <c r="J5">
        <v>10</v>
      </c>
      <c r="K5" s="38">
        <v>16.2</v>
      </c>
      <c r="L5" s="3">
        <f t="shared" si="0"/>
        <v>-0.60000000000000142</v>
      </c>
    </row>
    <row r="6" spans="1:12" x14ac:dyDescent="0.25">
      <c r="A6">
        <v>1737</v>
      </c>
      <c r="B6" t="s">
        <v>200</v>
      </c>
      <c r="C6" s="37">
        <v>15</v>
      </c>
      <c r="D6" s="51">
        <v>1.05</v>
      </c>
      <c r="E6" s="6">
        <v>15.75</v>
      </c>
      <c r="F6" s="4">
        <v>-3</v>
      </c>
      <c r="G6" s="6">
        <v>12.75</v>
      </c>
      <c r="H6" t="s">
        <v>177</v>
      </c>
      <c r="I6" s="1">
        <v>46124</v>
      </c>
      <c r="J6">
        <v>12</v>
      </c>
      <c r="K6" s="38">
        <v>15</v>
      </c>
      <c r="L6" s="3">
        <f t="shared" si="0"/>
        <v>-0.75</v>
      </c>
    </row>
    <row r="7" spans="1:12" x14ac:dyDescent="0.25">
      <c r="A7">
        <v>4488</v>
      </c>
      <c r="B7" t="s">
        <v>207</v>
      </c>
      <c r="C7" s="37">
        <v>15</v>
      </c>
      <c r="D7" s="51">
        <v>1.05</v>
      </c>
      <c r="E7" s="6">
        <v>15.75</v>
      </c>
      <c r="F7" s="4">
        <v>-3</v>
      </c>
      <c r="G7" s="6">
        <v>12.75</v>
      </c>
      <c r="H7" t="s">
        <v>177</v>
      </c>
      <c r="I7" s="1">
        <v>46124</v>
      </c>
      <c r="J7">
        <v>7</v>
      </c>
      <c r="K7" s="38">
        <v>15</v>
      </c>
      <c r="L7" s="3">
        <f t="shared" si="0"/>
        <v>-0.75</v>
      </c>
    </row>
    <row r="8" spans="1:12" x14ac:dyDescent="0.25">
      <c r="A8">
        <v>1852</v>
      </c>
      <c r="B8" t="s">
        <v>204</v>
      </c>
      <c r="C8" s="37">
        <v>12</v>
      </c>
      <c r="D8" s="51">
        <v>1.05</v>
      </c>
      <c r="E8" s="6">
        <v>12.600000000000001</v>
      </c>
      <c r="F8" s="4">
        <v>-3</v>
      </c>
      <c r="G8" s="6">
        <v>9.6000000000000014</v>
      </c>
      <c r="H8" t="s">
        <v>177</v>
      </c>
      <c r="I8" s="1">
        <v>46124</v>
      </c>
      <c r="J8">
        <v>6</v>
      </c>
      <c r="K8" s="38">
        <v>11.4</v>
      </c>
      <c r="L8" s="3">
        <f t="shared" si="0"/>
        <v>-1.2000000000000011</v>
      </c>
    </row>
    <row r="9" spans="1:12" x14ac:dyDescent="0.25">
      <c r="A9">
        <v>1952</v>
      </c>
      <c r="B9" t="s">
        <v>208</v>
      </c>
      <c r="C9" s="37">
        <v>11</v>
      </c>
      <c r="D9" s="51">
        <v>1.05</v>
      </c>
      <c r="E9" s="6">
        <v>11.55</v>
      </c>
      <c r="F9" s="4">
        <v>-3</v>
      </c>
      <c r="G9" s="6">
        <v>8.5500000000000007</v>
      </c>
      <c r="H9" t="s">
        <v>177</v>
      </c>
      <c r="I9" s="1">
        <v>46124</v>
      </c>
      <c r="J9">
        <v>4</v>
      </c>
      <c r="K9" s="38">
        <v>10.199999999999999</v>
      </c>
      <c r="L9" s="3">
        <f t="shared" si="0"/>
        <v>-1.3500000000000014</v>
      </c>
    </row>
    <row r="10" spans="1:12" x14ac:dyDescent="0.25">
      <c r="A10">
        <v>4813</v>
      </c>
      <c r="B10" t="s">
        <v>206</v>
      </c>
      <c r="C10" s="37">
        <v>10</v>
      </c>
      <c r="D10" s="51">
        <v>1.05</v>
      </c>
      <c r="E10" s="6">
        <v>10.5</v>
      </c>
      <c r="F10" s="4">
        <v>-3</v>
      </c>
      <c r="G10" s="6">
        <v>7.5</v>
      </c>
      <c r="H10" t="s">
        <v>177</v>
      </c>
      <c r="I10" s="1">
        <v>46124</v>
      </c>
      <c r="J10">
        <v>5</v>
      </c>
      <c r="K10" s="38">
        <v>9</v>
      </c>
      <c r="L10" s="3">
        <f t="shared" si="0"/>
        <v>-1.5</v>
      </c>
    </row>
    <row r="11" spans="1:12" x14ac:dyDescent="0.25">
      <c r="A11">
        <v>1159</v>
      </c>
      <c r="B11" t="s">
        <v>202</v>
      </c>
      <c r="C11" s="37">
        <v>6</v>
      </c>
      <c r="D11" s="51">
        <v>1.05</v>
      </c>
      <c r="E11" s="6">
        <v>6.3000000000000007</v>
      </c>
      <c r="F11" s="4">
        <v>-3</v>
      </c>
      <c r="G11" s="6">
        <v>3.3000000000000007</v>
      </c>
      <c r="H11" t="s">
        <v>177</v>
      </c>
      <c r="I11" s="1">
        <v>46124</v>
      </c>
      <c r="J11">
        <v>2</v>
      </c>
      <c r="K11" s="38">
        <v>4.2</v>
      </c>
      <c r="L11" s="3">
        <f t="shared" si="0"/>
        <v>-2.1000000000000005</v>
      </c>
    </row>
    <row r="12" spans="1:12" x14ac:dyDescent="0.25">
      <c r="A12">
        <v>2000</v>
      </c>
      <c r="B12" t="s">
        <v>205</v>
      </c>
      <c r="C12" s="37">
        <v>5</v>
      </c>
      <c r="D12" s="51">
        <v>1.05</v>
      </c>
      <c r="E12" s="6">
        <v>5.25</v>
      </c>
      <c r="F12" s="4">
        <v>-3</v>
      </c>
      <c r="G12" s="6">
        <v>2.25</v>
      </c>
      <c r="H12" t="s">
        <v>177</v>
      </c>
      <c r="I12" s="1">
        <v>46124</v>
      </c>
      <c r="J12">
        <v>1</v>
      </c>
      <c r="K12" s="38">
        <v>3</v>
      </c>
      <c r="L12" s="3">
        <f t="shared" si="0"/>
        <v>-2.25</v>
      </c>
    </row>
    <row r="14" spans="1:12" x14ac:dyDescent="0.25">
      <c r="A14" s="35">
        <f>COUNTA(A2:A12)</f>
        <v>11</v>
      </c>
      <c r="B14" s="11" t="s">
        <v>8</v>
      </c>
      <c r="C14" s="7">
        <f>SUM(C2:C12)</f>
        <v>496</v>
      </c>
      <c r="D14" s="12"/>
      <c r="E14" s="30">
        <f>+SUM(E2:E13)</f>
        <v>536.79999999999995</v>
      </c>
      <c r="F14" s="7">
        <f>SUM(F2:F12)</f>
        <v>-33</v>
      </c>
      <c r="G14" s="8">
        <f>+SUM(G2:G12)</f>
        <v>503.80000000000007</v>
      </c>
      <c r="H14" s="20">
        <f>COUNTA(H2:H12)</f>
        <v>11</v>
      </c>
      <c r="L14" s="36">
        <f>SUM(L2:L12)</f>
        <v>-9.8800000000000203</v>
      </c>
    </row>
  </sheetData>
  <autoFilter ref="A1:L12" xr:uid="{636175C4-8176-4F50-9A39-5C647C8CD5F9}">
    <sortState xmlns:xlrd2="http://schemas.microsoft.com/office/spreadsheetml/2017/richdata2" ref="A2:L12">
      <sortCondition descending="1" ref="C2:C1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A6E2-5DB1-4221-A63E-A29DE369A576}">
  <dimension ref="A1:L5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1405</v>
      </c>
      <c r="B2" t="s">
        <v>209</v>
      </c>
      <c r="C2" s="37">
        <v>18</v>
      </c>
      <c r="D2" s="51">
        <v>1.05</v>
      </c>
      <c r="E2" s="6">
        <v>18.900000000000002</v>
      </c>
      <c r="F2" s="4">
        <v>-3</v>
      </c>
      <c r="G2" s="6">
        <v>15.900000000000002</v>
      </c>
      <c r="H2" t="s">
        <v>177</v>
      </c>
      <c r="I2" s="1">
        <v>46131</v>
      </c>
      <c r="J2">
        <v>9</v>
      </c>
      <c r="K2" s="38">
        <v>18.36</v>
      </c>
      <c r="L2" s="3">
        <f t="shared" ref="L2:L3" si="0">+K2-E2</f>
        <v>-0.5400000000000027</v>
      </c>
    </row>
    <row r="3" spans="1:12" x14ac:dyDescent="0.25">
      <c r="A3">
        <v>961</v>
      </c>
      <c r="B3" t="s">
        <v>210</v>
      </c>
      <c r="C3" s="37">
        <v>64</v>
      </c>
      <c r="D3" s="51">
        <v>1.05</v>
      </c>
      <c r="E3" s="6">
        <v>67.2</v>
      </c>
      <c r="F3" s="4">
        <v>-3</v>
      </c>
      <c r="G3" s="6">
        <v>64.2</v>
      </c>
      <c r="H3" t="s">
        <v>177</v>
      </c>
      <c r="I3" s="1">
        <v>46131</v>
      </c>
      <c r="J3">
        <v>19</v>
      </c>
      <c r="K3" s="38">
        <v>69.12</v>
      </c>
      <c r="L3" s="3">
        <f t="shared" si="0"/>
        <v>1.9200000000000017</v>
      </c>
    </row>
    <row r="5" spans="1:12" x14ac:dyDescent="0.25">
      <c r="A5" s="35">
        <f>COUNTA(A2:A3)</f>
        <v>2</v>
      </c>
      <c r="B5" s="11" t="s">
        <v>8</v>
      </c>
      <c r="C5" s="7">
        <f>SUM(C2:C3)</f>
        <v>82</v>
      </c>
      <c r="D5" s="12"/>
      <c r="E5" s="30">
        <f>+SUM(E2:E4)</f>
        <v>86.100000000000009</v>
      </c>
      <c r="F5" s="7">
        <f>SUM(F2:F3)</f>
        <v>-6</v>
      </c>
      <c r="G5" s="8">
        <f>+SUM(G2:G3)</f>
        <v>80.100000000000009</v>
      </c>
      <c r="H5" s="20">
        <f>COUNTA(H2:H3)</f>
        <v>2</v>
      </c>
      <c r="L5" s="36">
        <f>SUM(L2:L3)</f>
        <v>1.379999999999999</v>
      </c>
    </row>
  </sheetData>
  <autoFilter ref="A1:L3" xr:uid="{636175C4-8176-4F50-9A39-5C647C8CD5F9}">
    <sortState xmlns:xlrd2="http://schemas.microsoft.com/office/spreadsheetml/2017/richdata2" ref="A2:L3">
      <sortCondition descending="1" ref="C2:C3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FD93-AEBE-4F63-B27F-844C3E2E7A10}">
  <dimension ref="A1:L25"/>
  <sheetViews>
    <sheetView showGridLines="0" workbookViewId="0">
      <selection activeCell="E20" sqref="E20"/>
    </sheetView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4156</v>
      </c>
      <c r="B2" t="s">
        <v>213</v>
      </c>
      <c r="C2" s="37">
        <v>155</v>
      </c>
      <c r="D2" s="49">
        <v>1.075</v>
      </c>
      <c r="E2" s="6">
        <v>166.625</v>
      </c>
      <c r="F2" s="4">
        <v>-3</v>
      </c>
      <c r="G2" s="6">
        <v>163.625</v>
      </c>
      <c r="H2" t="s">
        <v>177</v>
      </c>
      <c r="I2" s="1">
        <v>46138</v>
      </c>
      <c r="J2">
        <v>21</v>
      </c>
      <c r="K2" s="38">
        <v>170.5</v>
      </c>
      <c r="L2" s="3">
        <f>+K2-E2</f>
        <v>3.875</v>
      </c>
    </row>
    <row r="3" spans="1:12" x14ac:dyDescent="0.25">
      <c r="A3">
        <v>4211</v>
      </c>
      <c r="B3" t="s">
        <v>222</v>
      </c>
      <c r="C3" s="37">
        <v>130</v>
      </c>
      <c r="D3" s="49">
        <v>1.075</v>
      </c>
      <c r="E3" s="6">
        <v>139.75</v>
      </c>
      <c r="F3" s="4">
        <v>-3</v>
      </c>
      <c r="G3" s="6">
        <v>136.75</v>
      </c>
      <c r="H3" t="s">
        <v>177</v>
      </c>
      <c r="I3" s="1">
        <v>46138</v>
      </c>
      <c r="J3">
        <v>35</v>
      </c>
      <c r="K3" s="38">
        <v>143</v>
      </c>
      <c r="L3" s="3">
        <f t="shared" ref="L3:L23" si="0">+K3-E3</f>
        <v>3.25</v>
      </c>
    </row>
    <row r="4" spans="1:12" x14ac:dyDescent="0.25">
      <c r="A4">
        <v>4578</v>
      </c>
      <c r="B4" t="s">
        <v>228</v>
      </c>
      <c r="C4" s="37">
        <v>96</v>
      </c>
      <c r="D4" s="49">
        <v>1.075</v>
      </c>
      <c r="E4" s="6">
        <v>103.19999999999999</v>
      </c>
      <c r="F4" s="4">
        <v>-3</v>
      </c>
      <c r="G4" s="6">
        <v>100.19999999999999</v>
      </c>
      <c r="H4" t="s">
        <v>177</v>
      </c>
      <c r="I4" s="1">
        <v>46138</v>
      </c>
      <c r="J4">
        <v>34</v>
      </c>
      <c r="K4" s="38">
        <v>103.68</v>
      </c>
      <c r="L4" s="3">
        <f t="shared" si="0"/>
        <v>0.48000000000001819</v>
      </c>
    </row>
    <row r="5" spans="1:12" x14ac:dyDescent="0.25">
      <c r="A5">
        <v>4157</v>
      </c>
      <c r="B5" t="s">
        <v>219</v>
      </c>
      <c r="C5" s="37">
        <v>58</v>
      </c>
      <c r="D5" s="49">
        <v>1.075</v>
      </c>
      <c r="E5" s="6">
        <v>62.349999999999994</v>
      </c>
      <c r="F5" s="4">
        <v>-3</v>
      </c>
      <c r="G5" s="6">
        <v>59.349999999999994</v>
      </c>
      <c r="H5" t="s">
        <v>177</v>
      </c>
      <c r="I5" s="1">
        <v>46138</v>
      </c>
      <c r="J5">
        <v>15</v>
      </c>
      <c r="K5" s="38">
        <v>62.64</v>
      </c>
      <c r="L5" s="3">
        <f t="shared" si="0"/>
        <v>0.29000000000000625</v>
      </c>
    </row>
    <row r="6" spans="1:12" x14ac:dyDescent="0.25">
      <c r="A6">
        <v>4148</v>
      </c>
      <c r="B6" t="s">
        <v>218</v>
      </c>
      <c r="C6" s="37">
        <v>37</v>
      </c>
      <c r="D6" s="51">
        <v>1.05</v>
      </c>
      <c r="E6" s="6">
        <v>38.85</v>
      </c>
      <c r="F6" s="4">
        <v>-3</v>
      </c>
      <c r="G6" s="6">
        <v>35.85</v>
      </c>
      <c r="H6" t="s">
        <v>177</v>
      </c>
      <c r="I6" s="1">
        <v>46138</v>
      </c>
      <c r="J6">
        <v>12</v>
      </c>
      <c r="K6" s="38">
        <v>37.74</v>
      </c>
      <c r="L6" s="3">
        <f t="shared" si="0"/>
        <v>-1.1099999999999994</v>
      </c>
    </row>
    <row r="7" spans="1:12" x14ac:dyDescent="0.25">
      <c r="A7">
        <v>3875</v>
      </c>
      <c r="B7" t="s">
        <v>231</v>
      </c>
      <c r="C7" s="37">
        <v>36</v>
      </c>
      <c r="D7" s="51">
        <v>1.05</v>
      </c>
      <c r="E7" s="6">
        <v>37.800000000000004</v>
      </c>
      <c r="F7" s="4">
        <v>-3</v>
      </c>
      <c r="G7" s="6">
        <v>34.800000000000004</v>
      </c>
      <c r="H7" t="s">
        <v>177</v>
      </c>
      <c r="I7" s="1">
        <v>46138</v>
      </c>
      <c r="J7">
        <v>11</v>
      </c>
      <c r="K7" s="38">
        <v>36.72</v>
      </c>
      <c r="L7" s="3">
        <f t="shared" si="0"/>
        <v>-1.0800000000000054</v>
      </c>
    </row>
    <row r="8" spans="1:12" x14ac:dyDescent="0.25">
      <c r="A8">
        <v>3905</v>
      </c>
      <c r="B8" t="s">
        <v>221</v>
      </c>
      <c r="C8" s="37">
        <v>35</v>
      </c>
      <c r="D8" s="51">
        <v>1.05</v>
      </c>
      <c r="E8" s="6">
        <v>36.75</v>
      </c>
      <c r="F8" s="4">
        <v>-3</v>
      </c>
      <c r="G8" s="6">
        <v>33.75</v>
      </c>
      <c r="H8" t="s">
        <v>177</v>
      </c>
      <c r="I8" s="1">
        <v>46138</v>
      </c>
      <c r="J8">
        <v>9</v>
      </c>
      <c r="K8" s="38">
        <v>35.700000000000003</v>
      </c>
      <c r="L8" s="3">
        <f t="shared" si="0"/>
        <v>-1.0499999999999972</v>
      </c>
    </row>
    <row r="9" spans="1:12" x14ac:dyDescent="0.25">
      <c r="A9">
        <v>4215</v>
      </c>
      <c r="B9" t="s">
        <v>214</v>
      </c>
      <c r="C9" s="37">
        <v>33</v>
      </c>
      <c r="D9" s="51">
        <v>1.05</v>
      </c>
      <c r="E9" s="6">
        <v>34.65</v>
      </c>
      <c r="F9" s="4">
        <v>-3</v>
      </c>
      <c r="G9" s="6">
        <v>31.65</v>
      </c>
      <c r="H9" t="s">
        <v>177</v>
      </c>
      <c r="I9" s="1">
        <v>46138</v>
      </c>
      <c r="J9">
        <v>8</v>
      </c>
      <c r="K9" s="38">
        <v>33.659999999999997</v>
      </c>
      <c r="L9" s="3">
        <f t="shared" si="0"/>
        <v>-0.99000000000000199</v>
      </c>
    </row>
    <row r="10" spans="1:12" x14ac:dyDescent="0.25">
      <c r="A10">
        <v>4160</v>
      </c>
      <c r="B10" t="s">
        <v>224</v>
      </c>
      <c r="C10" s="37">
        <v>29</v>
      </c>
      <c r="D10" s="51">
        <v>1.05</v>
      </c>
      <c r="E10" s="6">
        <v>30.450000000000003</v>
      </c>
      <c r="F10" s="4">
        <v>-3</v>
      </c>
      <c r="G10" s="6">
        <v>27.450000000000003</v>
      </c>
      <c r="H10" t="s">
        <v>177</v>
      </c>
      <c r="I10" s="1">
        <v>46138</v>
      </c>
      <c r="J10">
        <v>12</v>
      </c>
      <c r="K10" s="38">
        <v>29.58</v>
      </c>
      <c r="L10" s="3">
        <f t="shared" si="0"/>
        <v>-0.87000000000000455</v>
      </c>
    </row>
    <row r="11" spans="1:12" x14ac:dyDescent="0.25">
      <c r="A11">
        <v>3423</v>
      </c>
      <c r="B11" t="s">
        <v>212</v>
      </c>
      <c r="C11" s="37">
        <v>28</v>
      </c>
      <c r="D11" s="51">
        <v>1.05</v>
      </c>
      <c r="E11" s="6">
        <v>29.400000000000002</v>
      </c>
      <c r="F11" s="4">
        <v>-3</v>
      </c>
      <c r="G11" s="6">
        <v>26.400000000000002</v>
      </c>
      <c r="H11" t="s">
        <v>177</v>
      </c>
      <c r="I11" s="1">
        <v>46138</v>
      </c>
      <c r="J11">
        <v>12</v>
      </c>
      <c r="K11" s="38">
        <v>28.56</v>
      </c>
      <c r="L11" s="3">
        <f t="shared" si="0"/>
        <v>-0.84000000000000341</v>
      </c>
    </row>
    <row r="12" spans="1:12" x14ac:dyDescent="0.25">
      <c r="A12">
        <v>4131</v>
      </c>
      <c r="B12" t="s">
        <v>211</v>
      </c>
      <c r="C12" s="37">
        <v>24</v>
      </c>
      <c r="D12" s="51">
        <v>1.05</v>
      </c>
      <c r="E12" s="6">
        <v>25.200000000000003</v>
      </c>
      <c r="F12" s="4">
        <v>-3</v>
      </c>
      <c r="G12" s="6">
        <v>22.200000000000003</v>
      </c>
      <c r="H12" t="s">
        <v>177</v>
      </c>
      <c r="I12" s="1">
        <v>46138</v>
      </c>
      <c r="J12">
        <v>3</v>
      </c>
      <c r="K12" s="38">
        <v>24.48</v>
      </c>
      <c r="L12" s="3">
        <f t="shared" si="0"/>
        <v>-0.72000000000000242</v>
      </c>
    </row>
    <row r="13" spans="1:12" x14ac:dyDescent="0.25">
      <c r="A13" s="40">
        <v>3427</v>
      </c>
      <c r="B13" s="41" t="s">
        <v>232</v>
      </c>
      <c r="C13" s="42"/>
      <c r="D13" s="43">
        <v>1.05</v>
      </c>
      <c r="E13" s="42">
        <v>0</v>
      </c>
      <c r="F13" s="44">
        <v>-3</v>
      </c>
      <c r="G13" s="42">
        <v>0</v>
      </c>
      <c r="H13" s="45" t="s">
        <v>98</v>
      </c>
      <c r="I13" s="46">
        <v>46138</v>
      </c>
      <c r="J13" s="41">
        <v>11</v>
      </c>
      <c r="K13" s="47">
        <v>24.48</v>
      </c>
      <c r="L13" s="42">
        <v>0</v>
      </c>
    </row>
    <row r="14" spans="1:12" x14ac:dyDescent="0.25">
      <c r="A14">
        <v>4155</v>
      </c>
      <c r="B14" t="s">
        <v>215</v>
      </c>
      <c r="C14" s="37">
        <v>21</v>
      </c>
      <c r="D14" s="51">
        <v>1.05</v>
      </c>
      <c r="E14" s="6">
        <v>22.05</v>
      </c>
      <c r="F14" s="4">
        <v>-3</v>
      </c>
      <c r="G14" s="6">
        <v>19.05</v>
      </c>
      <c r="H14" t="s">
        <v>177</v>
      </c>
      <c r="I14" s="1">
        <v>46138</v>
      </c>
      <c r="J14">
        <v>4</v>
      </c>
      <c r="K14" s="38">
        <v>21.42</v>
      </c>
      <c r="L14" s="3">
        <f t="shared" si="0"/>
        <v>-0.62999999999999901</v>
      </c>
    </row>
    <row r="15" spans="1:12" x14ac:dyDescent="0.25">
      <c r="A15">
        <v>4153</v>
      </c>
      <c r="B15" t="s">
        <v>227</v>
      </c>
      <c r="C15" s="37">
        <v>19</v>
      </c>
      <c r="D15" s="51">
        <v>1.05</v>
      </c>
      <c r="E15" s="6">
        <v>19.95</v>
      </c>
      <c r="F15" s="4">
        <v>-3</v>
      </c>
      <c r="G15" s="6">
        <v>16.95</v>
      </c>
      <c r="H15" t="s">
        <v>177</v>
      </c>
      <c r="I15" s="1">
        <v>46138</v>
      </c>
      <c r="J15">
        <v>13</v>
      </c>
      <c r="K15" s="38">
        <v>19.38</v>
      </c>
      <c r="L15" s="3">
        <f t="shared" si="0"/>
        <v>-0.57000000000000028</v>
      </c>
    </row>
    <row r="16" spans="1:12" x14ac:dyDescent="0.25">
      <c r="A16">
        <v>3653</v>
      </c>
      <c r="B16" t="s">
        <v>223</v>
      </c>
      <c r="C16" s="37">
        <v>18</v>
      </c>
      <c r="D16" s="51">
        <v>1.05</v>
      </c>
      <c r="E16" s="6">
        <v>18.900000000000002</v>
      </c>
      <c r="F16" s="4">
        <v>-3</v>
      </c>
      <c r="G16" s="6">
        <v>15.900000000000002</v>
      </c>
      <c r="H16" t="s">
        <v>177</v>
      </c>
      <c r="I16" s="1">
        <v>46138</v>
      </c>
      <c r="J16">
        <v>8</v>
      </c>
      <c r="K16" s="38">
        <v>18.36</v>
      </c>
      <c r="L16" s="3">
        <f t="shared" si="0"/>
        <v>-0.5400000000000027</v>
      </c>
    </row>
    <row r="17" spans="1:12" x14ac:dyDescent="0.25">
      <c r="A17">
        <v>4605</v>
      </c>
      <c r="B17" t="s">
        <v>230</v>
      </c>
      <c r="C17" s="37">
        <v>14</v>
      </c>
      <c r="D17" s="51">
        <v>1.05</v>
      </c>
      <c r="E17" s="6">
        <v>14.700000000000001</v>
      </c>
      <c r="F17" s="4">
        <v>-3</v>
      </c>
      <c r="G17" s="6">
        <v>11.700000000000001</v>
      </c>
      <c r="H17" t="s">
        <v>177</v>
      </c>
      <c r="I17" s="1">
        <v>46138</v>
      </c>
      <c r="J17">
        <v>8</v>
      </c>
      <c r="K17" s="38">
        <v>13.8</v>
      </c>
      <c r="L17" s="3">
        <f t="shared" si="0"/>
        <v>-0.90000000000000036</v>
      </c>
    </row>
    <row r="18" spans="1:12" x14ac:dyDescent="0.25">
      <c r="A18">
        <v>4248</v>
      </c>
      <c r="B18" t="s">
        <v>226</v>
      </c>
      <c r="C18" s="37">
        <v>11</v>
      </c>
      <c r="D18" s="51">
        <v>1.05</v>
      </c>
      <c r="E18" s="6">
        <v>11.55</v>
      </c>
      <c r="F18" s="4">
        <v>-3</v>
      </c>
      <c r="G18" s="6">
        <v>8.5500000000000007</v>
      </c>
      <c r="H18" t="s">
        <v>177</v>
      </c>
      <c r="I18" s="1">
        <v>46138</v>
      </c>
      <c r="J18">
        <v>7</v>
      </c>
      <c r="K18" s="38">
        <v>10.199999999999999</v>
      </c>
      <c r="L18" s="3">
        <f t="shared" si="0"/>
        <v>-1.3500000000000014</v>
      </c>
    </row>
    <row r="19" spans="1:12" x14ac:dyDescent="0.25">
      <c r="A19">
        <v>4127</v>
      </c>
      <c r="B19" t="s">
        <v>217</v>
      </c>
      <c r="C19" s="37">
        <v>10</v>
      </c>
      <c r="D19" s="51">
        <v>1.05</v>
      </c>
      <c r="E19" s="6">
        <v>10.5</v>
      </c>
      <c r="F19" s="4">
        <v>-3</v>
      </c>
      <c r="G19" s="6">
        <v>7.5</v>
      </c>
      <c r="H19" t="s">
        <v>177</v>
      </c>
      <c r="I19" s="1">
        <v>46138</v>
      </c>
      <c r="J19">
        <v>6</v>
      </c>
      <c r="K19" s="38">
        <v>9</v>
      </c>
      <c r="L19" s="3">
        <f t="shared" si="0"/>
        <v>-1.5</v>
      </c>
    </row>
    <row r="20" spans="1:12" x14ac:dyDescent="0.25">
      <c r="A20">
        <v>4606</v>
      </c>
      <c r="B20" t="s">
        <v>229</v>
      </c>
      <c r="C20" s="37">
        <v>10</v>
      </c>
      <c r="D20" s="51">
        <v>1.05</v>
      </c>
      <c r="E20" s="6">
        <v>10.5</v>
      </c>
      <c r="F20" s="4">
        <v>-3</v>
      </c>
      <c r="G20" s="6">
        <v>7.5</v>
      </c>
      <c r="H20" t="s">
        <v>177</v>
      </c>
      <c r="I20" s="1">
        <v>46138</v>
      </c>
      <c r="J20">
        <v>4</v>
      </c>
      <c r="K20" s="38">
        <v>9</v>
      </c>
      <c r="L20" s="3">
        <f t="shared" si="0"/>
        <v>-1.5</v>
      </c>
    </row>
    <row r="21" spans="1:12" x14ac:dyDescent="0.25">
      <c r="A21">
        <v>4220</v>
      </c>
      <c r="B21" t="s">
        <v>220</v>
      </c>
      <c r="C21" s="37">
        <v>9</v>
      </c>
      <c r="D21" s="51">
        <v>1.05</v>
      </c>
      <c r="E21" s="6">
        <v>9.4500000000000011</v>
      </c>
      <c r="F21" s="4">
        <v>-3</v>
      </c>
      <c r="G21" s="6">
        <v>6.4500000000000011</v>
      </c>
      <c r="H21" t="s">
        <v>177</v>
      </c>
      <c r="I21" s="1">
        <v>46138</v>
      </c>
      <c r="J21">
        <v>3</v>
      </c>
      <c r="K21" s="38">
        <v>7.8</v>
      </c>
      <c r="L21" s="3">
        <f t="shared" si="0"/>
        <v>-1.6500000000000012</v>
      </c>
    </row>
    <row r="22" spans="1:12" x14ac:dyDescent="0.25">
      <c r="A22">
        <v>4161</v>
      </c>
      <c r="B22" t="s">
        <v>216</v>
      </c>
      <c r="C22" s="37">
        <v>8</v>
      </c>
      <c r="D22" s="51">
        <v>1.05</v>
      </c>
      <c r="E22" s="6">
        <v>8.4</v>
      </c>
      <c r="F22" s="4">
        <v>-3</v>
      </c>
      <c r="G22" s="6">
        <v>5.4</v>
      </c>
      <c r="H22" t="s">
        <v>177</v>
      </c>
      <c r="I22" s="1">
        <v>46138</v>
      </c>
      <c r="J22">
        <v>3</v>
      </c>
      <c r="K22" s="38">
        <v>6.6</v>
      </c>
      <c r="L22" s="3">
        <f t="shared" si="0"/>
        <v>-1.8000000000000007</v>
      </c>
    </row>
    <row r="23" spans="1:12" x14ac:dyDescent="0.25">
      <c r="A23">
        <v>4577</v>
      </c>
      <c r="B23" t="s">
        <v>225</v>
      </c>
      <c r="C23" s="37">
        <v>5</v>
      </c>
      <c r="D23" s="51">
        <v>1.05</v>
      </c>
      <c r="E23" s="6">
        <v>5.25</v>
      </c>
      <c r="F23" s="4">
        <v>-3</v>
      </c>
      <c r="G23" s="6">
        <v>2.25</v>
      </c>
      <c r="H23" t="s">
        <v>177</v>
      </c>
      <c r="I23" s="1">
        <v>46138</v>
      </c>
      <c r="J23">
        <v>1</v>
      </c>
      <c r="K23" s="38">
        <v>3</v>
      </c>
      <c r="L23" s="3">
        <f t="shared" si="0"/>
        <v>-2.25</v>
      </c>
    </row>
    <row r="25" spans="1:12" x14ac:dyDescent="0.25">
      <c r="A25" s="35">
        <f>COUNTA(A2:A23)</f>
        <v>22</v>
      </c>
      <c r="B25" s="11" t="s">
        <v>8</v>
      </c>
      <c r="C25" s="7">
        <f>SUM(C2:C23)</f>
        <v>786</v>
      </c>
      <c r="D25" s="12"/>
      <c r="E25" s="30">
        <f>+SUM(E2:E24)</f>
        <v>836.27499999999998</v>
      </c>
      <c r="F25" s="7">
        <f>SUM(F2:F23)</f>
        <v>-66</v>
      </c>
      <c r="G25" s="8">
        <f>+SUM(G2:G23)</f>
        <v>773.27499999999998</v>
      </c>
      <c r="H25" s="20">
        <f>COUNTA(H2:H23)-1</f>
        <v>21</v>
      </c>
      <c r="L25" s="36">
        <f>SUM(L2:L23)</f>
        <v>-11.454999999999995</v>
      </c>
    </row>
  </sheetData>
  <autoFilter ref="A1:L23" xr:uid="{636175C4-8176-4F50-9A39-5C647C8CD5F9}">
    <sortState xmlns:xlrd2="http://schemas.microsoft.com/office/spreadsheetml/2017/richdata2" ref="A2:L23">
      <sortCondition descending="1" ref="C2:C2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9FBC-0E4D-4EA0-8694-859E997F6941}">
  <dimension ref="A1:L20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4721</v>
      </c>
      <c r="B2" t="s">
        <v>238</v>
      </c>
      <c r="C2" s="37">
        <v>675</v>
      </c>
      <c r="D2" s="51">
        <v>1.1000000000000001</v>
      </c>
      <c r="E2" s="6">
        <v>742.50000000000011</v>
      </c>
      <c r="F2" s="4">
        <v>-3</v>
      </c>
      <c r="G2" s="6">
        <v>739.50000000000011</v>
      </c>
      <c r="H2" t="s">
        <v>177</v>
      </c>
      <c r="I2" s="1">
        <v>46145</v>
      </c>
      <c r="J2">
        <v>14</v>
      </c>
      <c r="K2" s="38">
        <v>749.25</v>
      </c>
      <c r="L2" s="3">
        <f t="shared" ref="L2:L18" si="0">+K2-E2</f>
        <v>6.7499999999998863</v>
      </c>
    </row>
    <row r="3" spans="1:12" x14ac:dyDescent="0.25">
      <c r="A3">
        <v>3623</v>
      </c>
      <c r="B3" t="s">
        <v>247</v>
      </c>
      <c r="C3" s="37">
        <v>155</v>
      </c>
      <c r="D3" s="49">
        <v>1.075</v>
      </c>
      <c r="E3" s="6">
        <v>166.625</v>
      </c>
      <c r="F3" s="4">
        <v>-3</v>
      </c>
      <c r="G3" s="6">
        <v>163.625</v>
      </c>
      <c r="H3" t="s">
        <v>177</v>
      </c>
      <c r="I3" s="1">
        <v>46145</v>
      </c>
      <c r="J3">
        <v>20</v>
      </c>
      <c r="K3" s="38">
        <v>170.5</v>
      </c>
      <c r="L3" s="3">
        <f t="shared" si="0"/>
        <v>3.875</v>
      </c>
    </row>
    <row r="4" spans="1:12" x14ac:dyDescent="0.25">
      <c r="A4">
        <v>4357</v>
      </c>
      <c r="B4" t="s">
        <v>239</v>
      </c>
      <c r="C4" s="37">
        <v>115</v>
      </c>
      <c r="D4" s="49">
        <v>1.075</v>
      </c>
      <c r="E4" s="6">
        <v>123.64</v>
      </c>
      <c r="F4" s="4">
        <v>-3</v>
      </c>
      <c r="G4" s="6">
        <v>120.64</v>
      </c>
      <c r="H4" t="s">
        <v>177</v>
      </c>
      <c r="I4" s="1">
        <v>46145</v>
      </c>
      <c r="J4">
        <v>8</v>
      </c>
      <c r="K4" s="38">
        <v>126.5</v>
      </c>
      <c r="L4" s="3">
        <f t="shared" si="0"/>
        <v>2.8599999999999994</v>
      </c>
    </row>
    <row r="5" spans="1:12" x14ac:dyDescent="0.25">
      <c r="A5">
        <v>4356</v>
      </c>
      <c r="B5" t="s">
        <v>240</v>
      </c>
      <c r="C5" s="37">
        <v>115</v>
      </c>
      <c r="D5" s="49">
        <v>1.075</v>
      </c>
      <c r="E5" s="6">
        <v>123.63</v>
      </c>
      <c r="F5" s="4">
        <v>-3</v>
      </c>
      <c r="G5" s="6">
        <v>120.63</v>
      </c>
      <c r="H5" t="s">
        <v>177</v>
      </c>
      <c r="I5" s="1">
        <v>46145</v>
      </c>
      <c r="J5">
        <v>14</v>
      </c>
      <c r="K5" s="38">
        <v>126.5</v>
      </c>
      <c r="L5" s="3">
        <f t="shared" si="0"/>
        <v>2.8700000000000045</v>
      </c>
    </row>
    <row r="6" spans="1:12" x14ac:dyDescent="0.25">
      <c r="A6">
        <v>4358</v>
      </c>
      <c r="B6" t="s">
        <v>241</v>
      </c>
      <c r="C6" s="37">
        <v>94</v>
      </c>
      <c r="D6" s="49">
        <v>1.075</v>
      </c>
      <c r="E6" s="6">
        <v>101.05</v>
      </c>
      <c r="F6" s="4">
        <v>-3</v>
      </c>
      <c r="G6" s="6">
        <v>98.05</v>
      </c>
      <c r="H6" t="s">
        <v>177</v>
      </c>
      <c r="I6" s="1">
        <v>46145</v>
      </c>
      <c r="J6">
        <v>15</v>
      </c>
      <c r="K6" s="38">
        <v>101.52</v>
      </c>
      <c r="L6" s="3">
        <f t="shared" si="0"/>
        <v>0.46999999999999886</v>
      </c>
    </row>
    <row r="7" spans="1:12" x14ac:dyDescent="0.25">
      <c r="A7">
        <v>5344</v>
      </c>
      <c r="B7" t="s">
        <v>233</v>
      </c>
      <c r="C7" s="37">
        <v>64</v>
      </c>
      <c r="D7" s="49">
        <v>1.075</v>
      </c>
      <c r="E7" s="6">
        <v>68.8</v>
      </c>
      <c r="F7" s="4">
        <v>-3</v>
      </c>
      <c r="G7" s="6">
        <v>65.8</v>
      </c>
      <c r="H7" t="s">
        <v>177</v>
      </c>
      <c r="I7" s="1">
        <v>46145</v>
      </c>
      <c r="J7">
        <v>21</v>
      </c>
      <c r="K7" s="38">
        <v>69.12</v>
      </c>
      <c r="L7" s="3">
        <f t="shared" si="0"/>
        <v>0.32000000000000739</v>
      </c>
    </row>
    <row r="8" spans="1:12" x14ac:dyDescent="0.25">
      <c r="A8">
        <v>4770</v>
      </c>
      <c r="B8" t="s">
        <v>244</v>
      </c>
      <c r="C8" s="37">
        <v>44</v>
      </c>
      <c r="D8" s="51">
        <v>1.05</v>
      </c>
      <c r="E8" s="6">
        <v>46.2</v>
      </c>
      <c r="F8" s="4">
        <v>-3</v>
      </c>
      <c r="G8" s="6">
        <v>43.2</v>
      </c>
      <c r="H8" t="s">
        <v>177</v>
      </c>
      <c r="I8" s="1">
        <v>46145</v>
      </c>
      <c r="J8">
        <v>12</v>
      </c>
      <c r="K8" s="38">
        <v>44.88</v>
      </c>
      <c r="L8" s="3">
        <f t="shared" si="0"/>
        <v>-1.3200000000000003</v>
      </c>
    </row>
    <row r="9" spans="1:12" x14ac:dyDescent="0.25">
      <c r="A9">
        <v>4783</v>
      </c>
      <c r="B9" t="s">
        <v>235</v>
      </c>
      <c r="C9" s="37">
        <v>41</v>
      </c>
      <c r="D9" s="51">
        <v>1.05</v>
      </c>
      <c r="E9" s="6">
        <v>43.050000000000004</v>
      </c>
      <c r="F9" s="4">
        <v>-3</v>
      </c>
      <c r="G9" s="6">
        <v>40.050000000000004</v>
      </c>
      <c r="H9" t="s">
        <v>177</v>
      </c>
      <c r="I9" s="1">
        <v>46145</v>
      </c>
      <c r="J9">
        <v>8</v>
      </c>
      <c r="K9" s="38">
        <v>41.82</v>
      </c>
      <c r="L9" s="3">
        <f t="shared" si="0"/>
        <v>-1.230000000000004</v>
      </c>
    </row>
    <row r="10" spans="1:12" x14ac:dyDescent="0.25">
      <c r="A10">
        <v>4723</v>
      </c>
      <c r="B10" t="s">
        <v>245</v>
      </c>
      <c r="C10" s="37">
        <v>34</v>
      </c>
      <c r="D10" s="51">
        <v>1.05</v>
      </c>
      <c r="E10" s="6">
        <v>35.700000000000003</v>
      </c>
      <c r="F10" s="4">
        <v>-3</v>
      </c>
      <c r="G10" s="6">
        <v>32.700000000000003</v>
      </c>
      <c r="H10" t="s">
        <v>177</v>
      </c>
      <c r="I10" s="1">
        <v>46145</v>
      </c>
      <c r="J10">
        <v>13</v>
      </c>
      <c r="K10" s="38">
        <v>34.68</v>
      </c>
      <c r="L10" s="3">
        <f t="shared" si="0"/>
        <v>-1.0200000000000031</v>
      </c>
    </row>
    <row r="11" spans="1:12" x14ac:dyDescent="0.25">
      <c r="A11">
        <v>3840</v>
      </c>
      <c r="B11" t="s">
        <v>236</v>
      </c>
      <c r="C11" s="37">
        <v>33</v>
      </c>
      <c r="D11" s="51">
        <v>1.05</v>
      </c>
      <c r="E11" s="6">
        <v>34.65</v>
      </c>
      <c r="F11" s="4">
        <v>-3</v>
      </c>
      <c r="G11" s="6">
        <v>31.65</v>
      </c>
      <c r="H11" t="s">
        <v>177</v>
      </c>
      <c r="I11" s="1">
        <v>46145</v>
      </c>
      <c r="J11">
        <v>14</v>
      </c>
      <c r="K11" s="38">
        <v>33.659999999999997</v>
      </c>
      <c r="L11" s="3">
        <f t="shared" si="0"/>
        <v>-0.99000000000000199</v>
      </c>
    </row>
    <row r="12" spans="1:12" x14ac:dyDescent="0.25">
      <c r="A12">
        <v>4337</v>
      </c>
      <c r="B12" t="s">
        <v>246</v>
      </c>
      <c r="C12" s="37">
        <v>21</v>
      </c>
      <c r="D12" s="51">
        <v>1.05</v>
      </c>
      <c r="E12" s="6">
        <v>22.05</v>
      </c>
      <c r="F12" s="4">
        <v>-3</v>
      </c>
      <c r="G12" s="6">
        <v>19.05</v>
      </c>
      <c r="H12" t="s">
        <v>177</v>
      </c>
      <c r="I12" s="1">
        <v>46145</v>
      </c>
      <c r="J12">
        <v>5</v>
      </c>
      <c r="K12" s="38">
        <v>21.42</v>
      </c>
      <c r="L12" s="3">
        <f t="shared" si="0"/>
        <v>-0.62999999999999901</v>
      </c>
    </row>
    <row r="13" spans="1:12" x14ac:dyDescent="0.25">
      <c r="A13">
        <v>4722</v>
      </c>
      <c r="B13" t="s">
        <v>242</v>
      </c>
      <c r="C13" s="37">
        <v>17</v>
      </c>
      <c r="D13" s="51">
        <v>1.05</v>
      </c>
      <c r="E13" s="6">
        <v>17.850000000000001</v>
      </c>
      <c r="F13" s="4">
        <v>-3</v>
      </c>
      <c r="G13" s="6">
        <v>14.850000000000001</v>
      </c>
      <c r="H13" t="s">
        <v>177</v>
      </c>
      <c r="I13" s="1">
        <v>46145</v>
      </c>
      <c r="J13">
        <v>7</v>
      </c>
      <c r="K13" s="38">
        <v>17.34</v>
      </c>
      <c r="L13" s="3">
        <f t="shared" si="0"/>
        <v>-0.51000000000000156</v>
      </c>
    </row>
    <row r="14" spans="1:12" x14ac:dyDescent="0.25">
      <c r="A14">
        <v>4462</v>
      </c>
      <c r="B14" t="s">
        <v>248</v>
      </c>
      <c r="C14" s="37">
        <v>17</v>
      </c>
      <c r="D14" s="51">
        <v>1.05</v>
      </c>
      <c r="E14" s="6">
        <v>17.850000000000001</v>
      </c>
      <c r="F14" s="4">
        <v>-3</v>
      </c>
      <c r="G14" s="6">
        <v>14.850000000000001</v>
      </c>
      <c r="H14" t="s">
        <v>177</v>
      </c>
      <c r="I14" s="1">
        <v>46145</v>
      </c>
      <c r="J14">
        <v>10</v>
      </c>
      <c r="K14" s="38">
        <v>17.34</v>
      </c>
      <c r="L14" s="3">
        <f t="shared" si="0"/>
        <v>-0.51000000000000156</v>
      </c>
    </row>
    <row r="15" spans="1:12" x14ac:dyDescent="0.25">
      <c r="A15">
        <v>5664</v>
      </c>
      <c r="B15" t="s">
        <v>234</v>
      </c>
      <c r="C15" s="37">
        <v>12</v>
      </c>
      <c r="D15" s="51">
        <v>1.05</v>
      </c>
      <c r="E15" s="6">
        <v>12.600000000000001</v>
      </c>
      <c r="F15" s="4">
        <v>-3</v>
      </c>
      <c r="G15" s="6">
        <v>9.6000000000000014</v>
      </c>
      <c r="H15" t="s">
        <v>177</v>
      </c>
      <c r="I15" s="1">
        <v>46145</v>
      </c>
      <c r="J15">
        <v>6</v>
      </c>
      <c r="K15" s="38">
        <v>11.4</v>
      </c>
      <c r="L15" s="3">
        <f t="shared" si="0"/>
        <v>-1.2000000000000011</v>
      </c>
    </row>
    <row r="16" spans="1:12" x14ac:dyDescent="0.25">
      <c r="A16">
        <v>4762</v>
      </c>
      <c r="B16" t="s">
        <v>249</v>
      </c>
      <c r="C16" s="37">
        <v>11</v>
      </c>
      <c r="D16" s="51">
        <v>1.05</v>
      </c>
      <c r="E16" s="6">
        <v>11.55</v>
      </c>
      <c r="F16" s="4">
        <v>-3</v>
      </c>
      <c r="G16" s="6">
        <v>8.5500000000000007</v>
      </c>
      <c r="H16" t="s">
        <v>177</v>
      </c>
      <c r="I16" s="1">
        <v>46145</v>
      </c>
      <c r="J16">
        <v>3</v>
      </c>
      <c r="K16" s="38">
        <v>10.199999999999999</v>
      </c>
      <c r="L16" s="3">
        <f t="shared" si="0"/>
        <v>-1.3500000000000014</v>
      </c>
    </row>
    <row r="17" spans="1:12" x14ac:dyDescent="0.25">
      <c r="A17">
        <v>5549</v>
      </c>
      <c r="B17" t="s">
        <v>243</v>
      </c>
      <c r="C17" s="37">
        <v>8</v>
      </c>
      <c r="D17" s="51">
        <v>1.05</v>
      </c>
      <c r="E17" s="6">
        <v>8.4</v>
      </c>
      <c r="F17" s="4">
        <v>-3</v>
      </c>
      <c r="G17" s="6">
        <v>5.4</v>
      </c>
      <c r="H17" t="s">
        <v>177</v>
      </c>
      <c r="I17" s="1">
        <v>46145</v>
      </c>
      <c r="J17">
        <v>3</v>
      </c>
      <c r="K17" s="38">
        <v>6.6</v>
      </c>
      <c r="L17" s="3">
        <f t="shared" si="0"/>
        <v>-1.8000000000000007</v>
      </c>
    </row>
    <row r="18" spans="1:12" x14ac:dyDescent="0.25">
      <c r="A18">
        <v>4760</v>
      </c>
      <c r="B18" t="s">
        <v>237</v>
      </c>
      <c r="C18" s="37">
        <v>5</v>
      </c>
      <c r="D18" s="51">
        <v>1.05</v>
      </c>
      <c r="E18" s="6">
        <v>5.25</v>
      </c>
      <c r="F18" s="4">
        <v>-3</v>
      </c>
      <c r="G18" s="6">
        <v>2.25</v>
      </c>
      <c r="H18" t="s">
        <v>177</v>
      </c>
      <c r="I18" s="1">
        <v>46145</v>
      </c>
      <c r="J18">
        <v>1</v>
      </c>
      <c r="K18" s="38">
        <v>3</v>
      </c>
      <c r="L18" s="3">
        <f t="shared" si="0"/>
        <v>-2.25</v>
      </c>
    </row>
    <row r="20" spans="1:12" x14ac:dyDescent="0.25">
      <c r="A20" s="35">
        <f>COUNTA(A2:A18)</f>
        <v>17</v>
      </c>
      <c r="B20" s="11" t="s">
        <v>8</v>
      </c>
      <c r="C20" s="7">
        <f>SUM(C2:C18)</f>
        <v>1461</v>
      </c>
      <c r="D20" s="12"/>
      <c r="E20" s="30">
        <f>+SUM(E2:E19)</f>
        <v>1581.3949999999998</v>
      </c>
      <c r="F20" s="7">
        <f>SUM(F2:F18)</f>
        <v>-51</v>
      </c>
      <c r="G20" s="8">
        <f>+SUM(G2:G18)</f>
        <v>1530.3949999999998</v>
      </c>
      <c r="H20" s="20">
        <f>COUNTA(H2:H18)</f>
        <v>17</v>
      </c>
      <c r="L20" s="36">
        <f>SUM(L2:L18)</f>
        <v>4.3349999999998818</v>
      </c>
    </row>
  </sheetData>
  <autoFilter ref="A1:L18" xr:uid="{636175C4-8176-4F50-9A39-5C647C8CD5F9}">
    <sortState xmlns:xlrd2="http://schemas.microsoft.com/office/spreadsheetml/2017/richdata2" ref="A2:L18">
      <sortCondition descending="1" ref="C2:C18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94A0-5F81-4F18-9B96-50881B68DDEE}">
  <dimension ref="A1:L11"/>
  <sheetViews>
    <sheetView showGridLines="0" workbookViewId="0"/>
  </sheetViews>
  <sheetFormatPr defaultRowHeight="15" x14ac:dyDescent="0.25"/>
  <cols>
    <col min="1" max="1" width="9.7109375" style="34" bestFit="1" customWidth="1"/>
    <col min="2" max="2" width="92.5703125" bestFit="1" customWidth="1"/>
    <col min="3" max="3" width="16.140625" bestFit="1" customWidth="1"/>
    <col min="4" max="4" width="8.7109375" customWidth="1"/>
    <col min="5" max="5" width="19.85546875" bestFit="1" customWidth="1"/>
    <col min="6" max="6" width="16.5703125" bestFit="1" customWidth="1"/>
    <col min="7" max="7" width="17.7109375" bestFit="1" customWidth="1"/>
    <col min="8" max="8" width="17.85546875" bestFit="1" customWidth="1"/>
    <col min="9" max="9" width="11.85546875" bestFit="1" customWidth="1"/>
    <col min="10" max="10" width="7.140625" bestFit="1" customWidth="1"/>
    <col min="11" max="11" width="9.140625" style="13"/>
    <col min="12" max="12" width="11.5703125" bestFit="1" customWidth="1"/>
  </cols>
  <sheetData>
    <row r="1" spans="1:12" s="2" customFormat="1" x14ac:dyDescent="0.25">
      <c r="A1" s="33" t="s">
        <v>15</v>
      </c>
      <c r="B1" s="10" t="s">
        <v>0</v>
      </c>
      <c r="C1" s="10" t="s">
        <v>1</v>
      </c>
      <c r="D1" s="10" t="s">
        <v>5</v>
      </c>
      <c r="E1" s="10" t="s">
        <v>77</v>
      </c>
      <c r="F1" s="10" t="s">
        <v>10</v>
      </c>
      <c r="G1" s="10" t="s">
        <v>75</v>
      </c>
      <c r="H1" s="10" t="s">
        <v>2</v>
      </c>
      <c r="I1" s="10" t="s">
        <v>3</v>
      </c>
      <c r="J1" s="10" t="s">
        <v>4</v>
      </c>
      <c r="K1" s="32"/>
      <c r="L1" s="31" t="s">
        <v>78</v>
      </c>
    </row>
    <row r="2" spans="1:12" x14ac:dyDescent="0.25">
      <c r="A2">
        <v>3903</v>
      </c>
      <c r="B2" t="s">
        <v>261</v>
      </c>
      <c r="C2" s="37">
        <v>675</v>
      </c>
      <c r="D2" s="51">
        <v>1.1000000000000001</v>
      </c>
      <c r="E2" s="6">
        <f>+C2*D2</f>
        <v>742.50000000000011</v>
      </c>
      <c r="F2" s="4">
        <v>0</v>
      </c>
      <c r="G2" s="6">
        <f>+E2+F2</f>
        <v>742.50000000000011</v>
      </c>
      <c r="H2" t="s">
        <v>177</v>
      </c>
      <c r="I2" s="1">
        <v>46152</v>
      </c>
      <c r="J2">
        <v>11</v>
      </c>
      <c r="K2" s="38">
        <v>749.25</v>
      </c>
      <c r="L2" s="3">
        <f t="shared" ref="L2:L9" si="0">+K2-E2</f>
        <v>6.7499999999998863</v>
      </c>
    </row>
    <row r="3" spans="1:12" x14ac:dyDescent="0.25">
      <c r="A3">
        <v>3904</v>
      </c>
      <c r="B3" t="s">
        <v>257</v>
      </c>
      <c r="C3" s="37">
        <v>430</v>
      </c>
      <c r="D3" s="51">
        <v>1.1000000000000001</v>
      </c>
      <c r="E3" s="6">
        <f t="shared" ref="E3:E9" si="1">+C3*D3</f>
        <v>473.00000000000006</v>
      </c>
      <c r="F3" s="4">
        <v>0</v>
      </c>
      <c r="G3" s="6">
        <f t="shared" ref="G3:G9" si="2">+E3+F3</f>
        <v>473.00000000000006</v>
      </c>
      <c r="H3" t="s">
        <v>177</v>
      </c>
      <c r="I3" s="1">
        <v>46152</v>
      </c>
      <c r="J3">
        <v>12</v>
      </c>
      <c r="K3" s="38">
        <v>477.3</v>
      </c>
      <c r="L3" s="3">
        <f t="shared" si="0"/>
        <v>4.2999999999999545</v>
      </c>
    </row>
    <row r="4" spans="1:12" x14ac:dyDescent="0.25">
      <c r="A4">
        <v>4486</v>
      </c>
      <c r="B4" t="s">
        <v>258</v>
      </c>
      <c r="C4" s="37">
        <v>260</v>
      </c>
      <c r="D4" s="51">
        <v>1.1000000000000001</v>
      </c>
      <c r="E4" s="6">
        <f t="shared" si="1"/>
        <v>286</v>
      </c>
      <c r="F4" s="4">
        <v>-3</v>
      </c>
      <c r="G4" s="6">
        <f t="shared" si="2"/>
        <v>283</v>
      </c>
      <c r="H4" t="s">
        <v>177</v>
      </c>
      <c r="I4" s="1">
        <v>46152</v>
      </c>
      <c r="J4">
        <v>29</v>
      </c>
      <c r="K4" s="38">
        <v>288.60000000000002</v>
      </c>
      <c r="L4" s="3">
        <f t="shared" si="0"/>
        <v>2.6000000000000227</v>
      </c>
    </row>
    <row r="5" spans="1:12" x14ac:dyDescent="0.25">
      <c r="A5">
        <v>4353</v>
      </c>
      <c r="B5" t="s">
        <v>256</v>
      </c>
      <c r="C5" s="37">
        <v>230</v>
      </c>
      <c r="D5" s="51">
        <v>1.1000000000000001</v>
      </c>
      <c r="E5" s="6">
        <f t="shared" si="1"/>
        <v>253.00000000000003</v>
      </c>
      <c r="F5" s="4">
        <v>-3</v>
      </c>
      <c r="G5" s="6">
        <f t="shared" si="2"/>
        <v>250.00000000000003</v>
      </c>
      <c r="H5" t="s">
        <v>177</v>
      </c>
      <c r="I5" s="1">
        <v>46152</v>
      </c>
      <c r="J5">
        <v>17</v>
      </c>
      <c r="K5" s="38">
        <v>255.3</v>
      </c>
      <c r="L5" s="3">
        <f t="shared" si="0"/>
        <v>2.2999999999999829</v>
      </c>
    </row>
    <row r="6" spans="1:12" x14ac:dyDescent="0.25">
      <c r="A6">
        <v>4354</v>
      </c>
      <c r="B6" t="s">
        <v>254</v>
      </c>
      <c r="C6" s="37">
        <v>140</v>
      </c>
      <c r="D6" s="49">
        <v>1.075</v>
      </c>
      <c r="E6" s="6">
        <f t="shared" si="1"/>
        <v>150.5</v>
      </c>
      <c r="F6" s="4">
        <v>-3</v>
      </c>
      <c r="G6" s="6">
        <f t="shared" si="2"/>
        <v>147.5</v>
      </c>
      <c r="H6" t="s">
        <v>177</v>
      </c>
      <c r="I6" s="1">
        <v>46152</v>
      </c>
      <c r="J6">
        <v>19</v>
      </c>
      <c r="K6" s="38">
        <v>154</v>
      </c>
      <c r="L6" s="3">
        <f t="shared" si="0"/>
        <v>3.5</v>
      </c>
    </row>
    <row r="7" spans="1:12" x14ac:dyDescent="0.25">
      <c r="A7">
        <v>4485</v>
      </c>
      <c r="B7" t="s">
        <v>255</v>
      </c>
      <c r="C7" s="37">
        <v>56</v>
      </c>
      <c r="D7" s="49">
        <v>1.075</v>
      </c>
      <c r="E7" s="6">
        <f t="shared" si="1"/>
        <v>60.199999999999996</v>
      </c>
      <c r="F7" s="4">
        <v>-3</v>
      </c>
      <c r="G7" s="6">
        <f t="shared" si="2"/>
        <v>57.199999999999996</v>
      </c>
      <c r="H7" t="s">
        <v>177</v>
      </c>
      <c r="I7" s="1">
        <v>46152</v>
      </c>
      <c r="J7">
        <v>20</v>
      </c>
      <c r="K7" s="38">
        <v>60.48</v>
      </c>
      <c r="L7" s="3">
        <f t="shared" si="0"/>
        <v>0.28000000000000114</v>
      </c>
    </row>
    <row r="8" spans="1:12" x14ac:dyDescent="0.25">
      <c r="A8">
        <v>4079</v>
      </c>
      <c r="B8" t="s">
        <v>260</v>
      </c>
      <c r="C8" s="37">
        <v>38</v>
      </c>
      <c r="D8" s="51">
        <v>1.05</v>
      </c>
      <c r="E8" s="6">
        <f t="shared" si="1"/>
        <v>39.9</v>
      </c>
      <c r="F8" s="4">
        <v>-3</v>
      </c>
      <c r="G8" s="6">
        <f t="shared" si="2"/>
        <v>36.9</v>
      </c>
      <c r="H8" t="s">
        <v>177</v>
      </c>
      <c r="I8" s="1">
        <v>46152</v>
      </c>
      <c r="J8">
        <v>13</v>
      </c>
      <c r="K8" s="38">
        <v>38.76</v>
      </c>
      <c r="L8" s="3">
        <f t="shared" si="0"/>
        <v>-1.1400000000000006</v>
      </c>
    </row>
    <row r="9" spans="1:12" x14ac:dyDescent="0.25">
      <c r="A9">
        <v>3936</v>
      </c>
      <c r="B9" t="s">
        <v>259</v>
      </c>
      <c r="C9" s="37">
        <v>5</v>
      </c>
      <c r="D9" s="49">
        <v>1.05</v>
      </c>
      <c r="E9" s="6">
        <f t="shared" si="1"/>
        <v>5.25</v>
      </c>
      <c r="F9" s="4">
        <v>-3</v>
      </c>
      <c r="G9" s="6">
        <f t="shared" si="2"/>
        <v>2.25</v>
      </c>
      <c r="H9" t="s">
        <v>177</v>
      </c>
      <c r="I9" s="1">
        <v>46152</v>
      </c>
      <c r="J9">
        <v>1</v>
      </c>
      <c r="K9" s="38">
        <v>3</v>
      </c>
      <c r="L9" s="3">
        <f t="shared" si="0"/>
        <v>-2.25</v>
      </c>
    </row>
    <row r="11" spans="1:12" x14ac:dyDescent="0.25">
      <c r="A11" s="35">
        <f>COUNTA(A2:A9)</f>
        <v>8</v>
      </c>
      <c r="B11" s="11" t="s">
        <v>8</v>
      </c>
      <c r="C11" s="7">
        <f>SUM(C2:C9)</f>
        <v>1834</v>
      </c>
      <c r="D11" s="12"/>
      <c r="E11" s="30">
        <f>+SUM(E2:E10)</f>
        <v>2010.3500000000004</v>
      </c>
      <c r="F11" s="7">
        <f>SUM(F2:F9)</f>
        <v>-18</v>
      </c>
      <c r="G11" s="8">
        <f>+SUM(G2:G9)</f>
        <v>1992.3500000000004</v>
      </c>
      <c r="H11" s="20">
        <f>COUNTA(H2:H9)</f>
        <v>8</v>
      </c>
      <c r="L11" s="36">
        <f>SUM(L2:L9)</f>
        <v>16.339999999999847</v>
      </c>
    </row>
  </sheetData>
  <autoFilter ref="A1:L9" xr:uid="{636175C4-8176-4F50-9A39-5C647C8CD5F9}">
    <sortState xmlns:xlrd2="http://schemas.microsoft.com/office/spreadsheetml/2017/richdata2" ref="A2:L9">
      <sortCondition descending="1" ref="C2:C9"/>
    </sortState>
  </autoFilter>
  <sortState xmlns:xlrd2="http://schemas.microsoft.com/office/spreadsheetml/2017/richdata2" ref="A2:K9">
    <sortCondition descending="1"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TOTALS</vt:lpstr>
      <vt:lpstr>2-21</vt:lpstr>
      <vt:lpstr>3-1</vt:lpstr>
      <vt:lpstr>3-22</vt:lpstr>
      <vt:lpstr>3-29</vt:lpstr>
      <vt:lpstr>4-5</vt:lpstr>
      <vt:lpstr>4-12</vt:lpstr>
      <vt:lpstr>4-19</vt:lpstr>
      <vt:lpstr>4-26</vt:lpstr>
      <vt:lpstr>5-3</vt:lpstr>
      <vt:lpstr>5-10</vt:lpstr>
      <vt:lpstr>TOTALS!Print_Area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Spadaford</dc:creator>
  <cp:lastModifiedBy>Jon Spadaford</cp:lastModifiedBy>
  <cp:lastPrinted>2025-05-18T03:22:10Z</cp:lastPrinted>
  <dcterms:created xsi:type="dcterms:W3CDTF">2025-05-06T01:03:36Z</dcterms:created>
  <dcterms:modified xsi:type="dcterms:W3CDTF">2026-05-15T15:49:02Z</dcterms:modified>
</cp:coreProperties>
</file>